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amm\Downloads\"/>
    </mc:Choice>
  </mc:AlternateContent>
  <xr:revisionPtr revIDLastSave="0" documentId="13_ncr:1_{517C67E0-EF46-46A9-9404-D0C44CBC3012}" xr6:coauthVersionLast="47" xr6:coauthVersionMax="47" xr10:uidLastSave="{00000000-0000-0000-0000-000000000000}"/>
  <bookViews>
    <workbookView xWindow="-110" yWindow="-110" windowWidth="22620" windowHeight="13500" activeTab="3" xr2:uid="{DEB1FCCF-910D-4A6E-BEAF-4EABCC5A983E}"/>
  </bookViews>
  <sheets>
    <sheet name="Raw_Dataset" sheetId="1" r:id="rId1"/>
    <sheet name="PivotTables" sheetId="4" r:id="rId2"/>
    <sheet name="Dashboard" sheetId="2" r:id="rId3"/>
    <sheet name="Demand Forecasting" sheetId="5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K365" i="5"/>
  <c r="A365" i="5"/>
  <c r="K364" i="5"/>
  <c r="A364" i="5"/>
  <c r="K363" i="5"/>
  <c r="A363" i="5"/>
  <c r="K362" i="5"/>
  <c r="A362" i="5"/>
  <c r="K361" i="5"/>
  <c r="A361" i="5"/>
  <c r="K360" i="5"/>
  <c r="A360" i="5"/>
  <c r="J325" i="5"/>
  <c r="A325" i="5"/>
  <c r="J324" i="5"/>
  <c r="A324" i="5"/>
  <c r="J323" i="5"/>
  <c r="A323" i="5"/>
  <c r="J322" i="5"/>
  <c r="A322" i="5"/>
  <c r="J321" i="5"/>
  <c r="A321" i="5"/>
  <c r="J320" i="5"/>
  <c r="A320" i="5"/>
  <c r="J319" i="5"/>
  <c r="A319" i="5"/>
  <c r="J318" i="5"/>
  <c r="A318" i="5"/>
  <c r="J317" i="5"/>
  <c r="A317" i="5"/>
  <c r="J316" i="5"/>
  <c r="A316" i="5"/>
  <c r="J315" i="5"/>
  <c r="A315" i="5"/>
  <c r="J314" i="5"/>
  <c r="A314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K235" i="5"/>
  <c r="A235" i="5"/>
  <c r="K234" i="5"/>
  <c r="A234" i="5"/>
  <c r="K233" i="5"/>
  <c r="A233" i="5"/>
  <c r="K232" i="5"/>
  <c r="A232" i="5"/>
  <c r="K231" i="5"/>
  <c r="A231" i="5"/>
  <c r="K230" i="5"/>
  <c r="A230" i="5"/>
  <c r="A195" i="5"/>
  <c r="A194" i="5"/>
  <c r="A193" i="5"/>
  <c r="A192" i="5"/>
  <c r="A191" i="5"/>
  <c r="A190" i="5"/>
  <c r="A189" i="5"/>
  <c r="A188" i="5"/>
  <c r="D188" i="5" s="1"/>
  <c r="A187" i="5"/>
  <c r="A186" i="5"/>
  <c r="A185" i="5"/>
  <c r="A184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K105" i="5"/>
  <c r="A105" i="5"/>
  <c r="K104" i="5"/>
  <c r="A104" i="5"/>
  <c r="K103" i="5"/>
  <c r="A103" i="5"/>
  <c r="K102" i="5"/>
  <c r="A102" i="5"/>
  <c r="K101" i="5"/>
  <c r="A101" i="5"/>
  <c r="K100" i="5"/>
  <c r="A100" i="5"/>
  <c r="A65" i="5"/>
  <c r="A64" i="5"/>
  <c r="A63" i="5"/>
  <c r="A62" i="5"/>
  <c r="A61" i="5"/>
  <c r="A60" i="5"/>
  <c r="A59" i="5"/>
  <c r="A58" i="5"/>
  <c r="A57" i="5"/>
  <c r="A56" i="5"/>
  <c r="A55" i="5"/>
  <c r="A54" i="5"/>
  <c r="A50" i="5"/>
  <c r="A49" i="5"/>
  <c r="A48" i="5"/>
  <c r="A47" i="5"/>
  <c r="A46" i="5"/>
  <c r="A45" i="5"/>
  <c r="A44" i="5"/>
  <c r="A43" i="5"/>
  <c r="A42" i="5"/>
  <c r="A41" i="5"/>
  <c r="A40" i="5"/>
  <c r="A39" i="5"/>
  <c r="A33" i="5"/>
  <c r="A32" i="5"/>
  <c r="A31" i="5"/>
  <c r="A30" i="5"/>
  <c r="A29" i="5"/>
  <c r="A28" i="5"/>
  <c r="A27" i="5"/>
  <c r="A26" i="5"/>
  <c r="A25" i="5"/>
  <c r="A24" i="5"/>
  <c r="A23" i="5"/>
  <c r="A22" i="5"/>
  <c r="B16" i="5"/>
  <c r="B15" i="5"/>
  <c r="B14" i="5"/>
  <c r="B13" i="5"/>
  <c r="B12" i="5"/>
  <c r="B11" i="5"/>
  <c r="B10" i="5"/>
  <c r="B9" i="5"/>
  <c r="B8" i="5"/>
  <c r="B7" i="5"/>
  <c r="B6" i="5"/>
  <c r="B5" i="5"/>
  <c r="B195" i="5" l="1"/>
  <c r="C235" i="5"/>
  <c r="J235" i="5" s="1"/>
  <c r="L235" i="5" s="1"/>
  <c r="C234" i="5"/>
  <c r="J234" i="5" s="1"/>
  <c r="L234" i="5" s="1"/>
  <c r="B194" i="5"/>
  <c r="D235" i="5"/>
  <c r="B193" i="5"/>
  <c r="C233" i="5"/>
  <c r="J233" i="5" s="1"/>
  <c r="L233" i="5" s="1"/>
  <c r="D234" i="5"/>
  <c r="C232" i="5"/>
  <c r="J232" i="5" s="1"/>
  <c r="L232" i="5" s="1"/>
  <c r="B192" i="5"/>
  <c r="E235" i="5"/>
  <c r="F235" i="5"/>
  <c r="B191" i="5"/>
  <c r="E234" i="5"/>
  <c r="D233" i="5"/>
  <c r="C231" i="5"/>
  <c r="J231" i="5" s="1"/>
  <c r="L231" i="5" s="1"/>
  <c r="G235" i="5"/>
  <c r="F234" i="5"/>
  <c r="D232" i="5"/>
  <c r="B190" i="5"/>
  <c r="E233" i="5"/>
  <c r="C230" i="5"/>
  <c r="H235" i="5"/>
  <c r="G234" i="5"/>
  <c r="B189" i="5"/>
  <c r="E232" i="5"/>
  <c r="F233" i="5"/>
  <c r="D231" i="5"/>
  <c r="H234" i="5"/>
  <c r="F232" i="5"/>
  <c r="D230" i="5"/>
  <c r="B188" i="5"/>
  <c r="C188" i="5" s="1"/>
  <c r="E231" i="5"/>
  <c r="G233" i="5"/>
  <c r="G232" i="5"/>
  <c r="E230" i="5"/>
  <c r="F231" i="5"/>
  <c r="F230" i="5"/>
  <c r="G231" i="5"/>
  <c r="B65" i="5"/>
  <c r="C105" i="5"/>
  <c r="J105" i="5" s="1"/>
  <c r="L105" i="5" s="1"/>
  <c r="B33" i="5"/>
  <c r="B50" i="5"/>
  <c r="C104" i="5"/>
  <c r="J104" i="5" s="1"/>
  <c r="L104" i="5" s="1"/>
  <c r="B32" i="5"/>
  <c r="B64" i="5"/>
  <c r="B49" i="5"/>
  <c r="B31" i="5"/>
  <c r="C103" i="5"/>
  <c r="J103" i="5" s="1"/>
  <c r="L103" i="5" s="1"/>
  <c r="B63" i="5"/>
  <c r="D105" i="5"/>
  <c r="B48" i="5"/>
  <c r="C102" i="5"/>
  <c r="J102" i="5" s="1"/>
  <c r="L102" i="5" s="1"/>
  <c r="M102" i="5" s="1"/>
  <c r="O102" i="5" s="1"/>
  <c r="E105" i="5"/>
  <c r="D104" i="5"/>
  <c r="B30" i="5"/>
  <c r="B62" i="5"/>
  <c r="B47" i="5"/>
  <c r="B29" i="5"/>
  <c r="C101" i="5"/>
  <c r="J101" i="5" s="1"/>
  <c r="L101" i="5" s="1"/>
  <c r="B46" i="5"/>
  <c r="F105" i="5"/>
  <c r="E104" i="5"/>
  <c r="B61" i="5"/>
  <c r="D103" i="5"/>
  <c r="B28" i="5"/>
  <c r="B45" i="5"/>
  <c r="G105" i="5"/>
  <c r="B60" i="5"/>
  <c r="F104" i="5"/>
  <c r="C100" i="5"/>
  <c r="E103" i="5"/>
  <c r="D102" i="5"/>
  <c r="B27" i="5"/>
  <c r="D101" i="5"/>
  <c r="E102" i="5"/>
  <c r="G104" i="5"/>
  <c r="B44" i="5"/>
  <c r="F103" i="5"/>
  <c r="B59" i="5"/>
  <c r="H105" i="5"/>
  <c r="B26" i="5"/>
  <c r="G103" i="5"/>
  <c r="B58" i="5"/>
  <c r="F102" i="5"/>
  <c r="H104" i="5"/>
  <c r="E101" i="5"/>
  <c r="B43" i="5"/>
  <c r="D100" i="5"/>
  <c r="B25" i="5"/>
  <c r="H103" i="5"/>
  <c r="G102" i="5"/>
  <c r="B57" i="5"/>
  <c r="C57" i="5" s="1"/>
  <c r="F101" i="5"/>
  <c r="B42" i="5"/>
  <c r="E100" i="5"/>
  <c r="B24" i="5"/>
  <c r="B56" i="5"/>
  <c r="C56" i="5" s="1"/>
  <c r="H102" i="5"/>
  <c r="G101" i="5"/>
  <c r="B41" i="5"/>
  <c r="F100" i="5"/>
  <c r="B23" i="5"/>
  <c r="G100" i="5"/>
  <c r="H101" i="5"/>
  <c r="B55" i="5"/>
  <c r="C55" i="5" s="1"/>
  <c r="B40" i="5"/>
  <c r="B22" i="5"/>
  <c r="H100" i="5"/>
  <c r="B54" i="5"/>
  <c r="C54" i="5" s="1"/>
  <c r="B71" i="5" s="1"/>
  <c r="B39" i="5"/>
  <c r="D325" i="5"/>
  <c r="D324" i="5"/>
  <c r="D323" i="5"/>
  <c r="D322" i="5"/>
  <c r="D321" i="5"/>
  <c r="D320" i="5"/>
  <c r="D319" i="5"/>
  <c r="D318" i="5"/>
  <c r="D317" i="5"/>
  <c r="D316" i="5"/>
  <c r="D315" i="5"/>
  <c r="B328" i="5"/>
  <c r="B329" i="5"/>
  <c r="B333" i="5" s="1"/>
  <c r="D314" i="5"/>
  <c r="B332" i="5" s="1"/>
  <c r="B310" i="5"/>
  <c r="C365" i="5"/>
  <c r="J365" i="5" s="1"/>
  <c r="L365" i="5" s="1"/>
  <c r="B293" i="5"/>
  <c r="B325" i="5"/>
  <c r="C325" i="5" s="1"/>
  <c r="K325" i="5"/>
  <c r="C364" i="5"/>
  <c r="J364" i="5" s="1"/>
  <c r="L364" i="5" s="1"/>
  <c r="B292" i="5"/>
  <c r="B324" i="5"/>
  <c r="C324" i="5" s="1"/>
  <c r="K324" i="5"/>
  <c r="B309" i="5"/>
  <c r="D365" i="5"/>
  <c r="K323" i="5"/>
  <c r="B291" i="5"/>
  <c r="B323" i="5"/>
  <c r="C323" i="5" s="1"/>
  <c r="C363" i="5"/>
  <c r="J363" i="5" s="1"/>
  <c r="L363" i="5" s="1"/>
  <c r="B308" i="5"/>
  <c r="B290" i="5"/>
  <c r="B322" i="5"/>
  <c r="C322" i="5" s="1"/>
  <c r="D364" i="5"/>
  <c r="K322" i="5"/>
  <c r="B307" i="5"/>
  <c r="E365" i="5"/>
  <c r="C362" i="5"/>
  <c r="J362" i="5" s="1"/>
  <c r="L362" i="5" s="1"/>
  <c r="E364" i="5"/>
  <c r="B306" i="5"/>
  <c r="B321" i="5"/>
  <c r="C321" i="5" s="1"/>
  <c r="K321" i="5"/>
  <c r="F365" i="5"/>
  <c r="B289" i="5"/>
  <c r="C361" i="5"/>
  <c r="J361" i="5" s="1"/>
  <c r="L361" i="5" s="1"/>
  <c r="D363" i="5"/>
  <c r="G365" i="5"/>
  <c r="B305" i="5"/>
  <c r="C360" i="5"/>
  <c r="E363" i="5"/>
  <c r="F364" i="5"/>
  <c r="K320" i="5"/>
  <c r="B320" i="5"/>
  <c r="C320" i="5" s="1"/>
  <c r="B288" i="5"/>
  <c r="D362" i="5"/>
  <c r="G364" i="5"/>
  <c r="B287" i="5"/>
  <c r="B304" i="5"/>
  <c r="B319" i="5"/>
  <c r="C319" i="5" s="1"/>
  <c r="K319" i="5"/>
  <c r="F363" i="5"/>
  <c r="H365" i="5"/>
  <c r="E362" i="5"/>
  <c r="D361" i="5"/>
  <c r="K318" i="5"/>
  <c r="G363" i="5"/>
  <c r="B303" i="5"/>
  <c r="F362" i="5"/>
  <c r="E361" i="5"/>
  <c r="D360" i="5"/>
  <c r="B286" i="5"/>
  <c r="H364" i="5"/>
  <c r="B318" i="5"/>
  <c r="C318" i="5" s="1"/>
  <c r="B317" i="5"/>
  <c r="C317" i="5" s="1"/>
  <c r="G362" i="5"/>
  <c r="H363" i="5"/>
  <c r="B285" i="5"/>
  <c r="B302" i="5"/>
  <c r="F361" i="5"/>
  <c r="E360" i="5"/>
  <c r="K317" i="5"/>
  <c r="K316" i="5"/>
  <c r="B316" i="5"/>
  <c r="C316" i="5" s="1"/>
  <c r="H362" i="5"/>
  <c r="F360" i="5"/>
  <c r="G361" i="5"/>
  <c r="B284" i="5"/>
  <c r="B301" i="5"/>
  <c r="B315" i="5"/>
  <c r="C315" i="5" s="1"/>
  <c r="B300" i="5"/>
  <c r="K315" i="5"/>
  <c r="G360" i="5"/>
  <c r="B283" i="5"/>
  <c r="H361" i="5"/>
  <c r="K314" i="5"/>
  <c r="B314" i="5"/>
  <c r="C314" i="5" s="1"/>
  <c r="B299" i="5"/>
  <c r="B282" i="5"/>
  <c r="H360" i="5"/>
  <c r="N235" i="5"/>
  <c r="M235" i="5"/>
  <c r="O235" i="5" s="1"/>
  <c r="M234" i="5"/>
  <c r="O234" i="5" s="1"/>
  <c r="N234" i="5"/>
  <c r="M233" i="5"/>
  <c r="O233" i="5" s="1"/>
  <c r="N233" i="5"/>
  <c r="M232" i="5"/>
  <c r="O232" i="5" s="1"/>
  <c r="N232" i="5"/>
  <c r="C195" i="5"/>
  <c r="D195" i="5"/>
  <c r="C194" i="5"/>
  <c r="D194" i="5"/>
  <c r="D193" i="5"/>
  <c r="C193" i="5"/>
  <c r="D192" i="5"/>
  <c r="C192" i="5"/>
  <c r="C191" i="5"/>
  <c r="D191" i="5"/>
  <c r="C190" i="5"/>
  <c r="D190" i="5"/>
  <c r="D189" i="5"/>
  <c r="B199" i="5"/>
  <c r="B203" i="5" s="1"/>
  <c r="B198" i="5"/>
  <c r="C189" i="5"/>
  <c r="D187" i="5"/>
  <c r="D186" i="5"/>
  <c r="D185" i="5"/>
  <c r="D184" i="5"/>
  <c r="B202" i="5" s="1"/>
  <c r="B163" i="5"/>
  <c r="B180" i="5"/>
  <c r="B162" i="5"/>
  <c r="B179" i="5"/>
  <c r="B161" i="5"/>
  <c r="B178" i="5"/>
  <c r="B160" i="5"/>
  <c r="B177" i="5"/>
  <c r="B159" i="5"/>
  <c r="B176" i="5"/>
  <c r="B175" i="5"/>
  <c r="B158" i="5"/>
  <c r="B174" i="5"/>
  <c r="B157" i="5"/>
  <c r="B173" i="5"/>
  <c r="B156" i="5"/>
  <c r="B187" i="5"/>
  <c r="C187" i="5" s="1"/>
  <c r="B155" i="5"/>
  <c r="H233" i="5"/>
  <c r="B172" i="5"/>
  <c r="H232" i="5"/>
  <c r="B186" i="5"/>
  <c r="C186" i="5" s="1"/>
  <c r="B171" i="5"/>
  <c r="B154" i="5"/>
  <c r="B185" i="5"/>
  <c r="C185" i="5" s="1"/>
  <c r="G230" i="5"/>
  <c r="B153" i="5"/>
  <c r="B170" i="5"/>
  <c r="H231" i="5"/>
  <c r="H230" i="5"/>
  <c r="B184" i="5"/>
  <c r="C184" i="5" s="1"/>
  <c r="B152" i="5"/>
  <c r="B169" i="5"/>
  <c r="M105" i="5"/>
  <c r="O105" i="5" s="1"/>
  <c r="N105" i="5"/>
  <c r="M104" i="5"/>
  <c r="O104" i="5" s="1"/>
  <c r="N104" i="5"/>
  <c r="N103" i="5"/>
  <c r="M103" i="5"/>
  <c r="O103" i="5" s="1"/>
  <c r="N102" i="5"/>
  <c r="C65" i="5"/>
  <c r="D65" i="5"/>
  <c r="C64" i="5"/>
  <c r="D64" i="5"/>
  <c r="C63" i="5"/>
  <c r="D63" i="5"/>
  <c r="C62" i="5"/>
  <c r="D62" i="5"/>
  <c r="D61" i="5"/>
  <c r="C61" i="5"/>
  <c r="C60" i="5"/>
  <c r="D60" i="5"/>
  <c r="D59" i="5"/>
  <c r="B68" i="5"/>
  <c r="C59" i="5"/>
  <c r="B69" i="5"/>
  <c r="B73" i="5" s="1"/>
  <c r="D58" i="5"/>
  <c r="C58" i="5"/>
  <c r="D57" i="5"/>
  <c r="D56" i="5"/>
  <c r="D55" i="5"/>
  <c r="D54" i="5"/>
  <c r="B72" i="5" s="1"/>
  <c r="B201" i="5" l="1"/>
  <c r="M231" i="5"/>
  <c r="O231" i="5" s="1"/>
  <c r="N231" i="5"/>
  <c r="E237" i="5"/>
  <c r="D237" i="5"/>
  <c r="F237" i="5"/>
  <c r="J230" i="5"/>
  <c r="L230" i="5" s="1"/>
  <c r="D238" i="5"/>
  <c r="F238" i="5"/>
  <c r="E238" i="5"/>
  <c r="M101" i="5"/>
  <c r="O101" i="5" s="1"/>
  <c r="N101" i="5"/>
  <c r="F108" i="5"/>
  <c r="E107" i="5"/>
  <c r="F107" i="5"/>
  <c r="H108" i="5"/>
  <c r="D107" i="5"/>
  <c r="G107" i="5"/>
  <c r="H107" i="5"/>
  <c r="J100" i="5"/>
  <c r="L100" i="5" s="1"/>
  <c r="E108" i="5"/>
  <c r="G108" i="5"/>
  <c r="D108" i="5"/>
  <c r="J19" i="5" s="1"/>
  <c r="D45" i="5"/>
  <c r="E45" i="5" s="1"/>
  <c r="D47" i="5"/>
  <c r="E47" i="5" s="1"/>
  <c r="D49" i="5"/>
  <c r="E49" i="5" s="1"/>
  <c r="D46" i="5"/>
  <c r="E46" i="5" s="1"/>
  <c r="D48" i="5"/>
  <c r="E48" i="5" s="1"/>
  <c r="D50" i="5"/>
  <c r="E50" i="5" s="1"/>
  <c r="B70" i="5"/>
  <c r="E68" i="5" s="1"/>
  <c r="E69" i="5" s="1"/>
  <c r="M365" i="5"/>
  <c r="O365" i="5" s="1"/>
  <c r="N365" i="5"/>
  <c r="M364" i="5"/>
  <c r="O364" i="5" s="1"/>
  <c r="N364" i="5"/>
  <c r="M363" i="5"/>
  <c r="O363" i="5" s="1"/>
  <c r="N363" i="5"/>
  <c r="M362" i="5"/>
  <c r="O362" i="5" s="1"/>
  <c r="N362" i="5"/>
  <c r="M361" i="5"/>
  <c r="O361" i="5" s="1"/>
  <c r="N361" i="5"/>
  <c r="J360" i="5"/>
  <c r="L360" i="5" s="1"/>
  <c r="D367" i="5"/>
  <c r="E367" i="5"/>
  <c r="F367" i="5"/>
  <c r="G367" i="5"/>
  <c r="H367" i="5"/>
  <c r="D368" i="5"/>
  <c r="E368" i="5"/>
  <c r="F368" i="5"/>
  <c r="G368" i="5"/>
  <c r="H368" i="5"/>
  <c r="B330" i="5"/>
  <c r="D310" i="5"/>
  <c r="D305" i="5"/>
  <c r="D306" i="5"/>
  <c r="D307" i="5"/>
  <c r="D308" i="5"/>
  <c r="D309" i="5"/>
  <c r="M230" i="5"/>
  <c r="N230" i="5"/>
  <c r="F209" i="5" s="1"/>
  <c r="B200" i="5"/>
  <c r="E198" i="5" s="1"/>
  <c r="E199" i="5" s="1"/>
  <c r="D175" i="5"/>
  <c r="D176" i="5"/>
  <c r="D177" i="5"/>
  <c r="D178" i="5"/>
  <c r="D179" i="5"/>
  <c r="D180" i="5"/>
  <c r="M100" i="5"/>
  <c r="N100" i="5"/>
  <c r="F79" i="5" s="1"/>
  <c r="G237" i="5"/>
  <c r="G238" i="5"/>
  <c r="H237" i="5"/>
  <c r="H238" i="5"/>
  <c r="B331" i="5"/>
  <c r="E328" i="5" l="1"/>
  <c r="D28" i="5"/>
  <c r="D29" i="5"/>
  <c r="C88" i="5"/>
  <c r="C89" i="5"/>
  <c r="C90" i="5"/>
  <c r="C91" i="5"/>
  <c r="D30" i="5"/>
  <c r="D31" i="5"/>
  <c r="D32" i="5"/>
  <c r="E32" i="5" s="1"/>
  <c r="D33" i="5"/>
  <c r="E33" i="5" s="1"/>
  <c r="C86" i="5"/>
  <c r="C87" i="5"/>
  <c r="K39" i="5"/>
  <c r="G45" i="5"/>
  <c r="F45" i="5"/>
  <c r="G47" i="5"/>
  <c r="F47" i="5"/>
  <c r="H47" i="5" s="1"/>
  <c r="G49" i="5"/>
  <c r="F49" i="5"/>
  <c r="H49" i="5" s="1"/>
  <c r="G46" i="5"/>
  <c r="F46" i="5"/>
  <c r="H46" i="5" s="1"/>
  <c r="G48" i="5"/>
  <c r="F48" i="5"/>
  <c r="H48" i="5" s="1"/>
  <c r="G50" i="5"/>
  <c r="F50" i="5"/>
  <c r="H50" i="5" s="1"/>
  <c r="J149" i="5"/>
  <c r="M360" i="5"/>
  <c r="N360" i="5"/>
  <c r="F339" i="5" s="1"/>
  <c r="E310" i="5"/>
  <c r="N325" i="5"/>
  <c r="E305" i="5"/>
  <c r="N320" i="5"/>
  <c r="E306" i="5"/>
  <c r="N321" i="5"/>
  <c r="E307" i="5"/>
  <c r="N322" i="5"/>
  <c r="E308" i="5"/>
  <c r="N323" i="5"/>
  <c r="E309" i="5"/>
  <c r="N324" i="5"/>
  <c r="F208" i="5"/>
  <c r="O230" i="5"/>
  <c r="F210" i="5" s="1"/>
  <c r="D217" i="5"/>
  <c r="E217" i="5" s="1"/>
  <c r="D221" i="5"/>
  <c r="E221" i="5" s="1"/>
  <c r="D216" i="5"/>
  <c r="E216" i="5" s="1"/>
  <c r="D218" i="5"/>
  <c r="E218" i="5" s="1"/>
  <c r="D219" i="5"/>
  <c r="E219" i="5" s="1"/>
  <c r="D220" i="5"/>
  <c r="E220" i="5" s="1"/>
  <c r="E175" i="5"/>
  <c r="E176" i="5"/>
  <c r="E177" i="5"/>
  <c r="E178" i="5"/>
  <c r="E179" i="5"/>
  <c r="E180" i="5"/>
  <c r="F78" i="5"/>
  <c r="O100" i="5"/>
  <c r="F80" i="5" s="1"/>
  <c r="E28" i="5"/>
  <c r="E29" i="5"/>
  <c r="E30" i="5"/>
  <c r="E31" i="5"/>
  <c r="D159" i="5"/>
  <c r="D158" i="5"/>
  <c r="D86" i="5"/>
  <c r="E86" i="5" s="1"/>
  <c r="D87" i="5"/>
  <c r="E87" i="5" s="1"/>
  <c r="D88" i="5"/>
  <c r="E88" i="5" s="1"/>
  <c r="D91" i="5"/>
  <c r="E91" i="5" s="1"/>
  <c r="D89" i="5"/>
  <c r="E89" i="5" s="1"/>
  <c r="D90" i="5"/>
  <c r="E90" i="5" s="1"/>
  <c r="J279" i="5"/>
  <c r="E329" i="5"/>
  <c r="K41" i="5"/>
  <c r="K45" i="5" s="1"/>
  <c r="E79" i="5" s="1"/>
  <c r="H45" i="5" l="1"/>
  <c r="K42" i="5" s="1"/>
  <c r="K46" i="5" s="1"/>
  <c r="E80" i="5" s="1"/>
  <c r="K40" i="5"/>
  <c r="K44" i="5" s="1"/>
  <c r="E78" i="5" s="1"/>
  <c r="C221" i="5"/>
  <c r="C220" i="5"/>
  <c r="C219" i="5"/>
  <c r="C217" i="5"/>
  <c r="C216" i="5"/>
  <c r="C218" i="5"/>
  <c r="D163" i="5"/>
  <c r="D162" i="5"/>
  <c r="D161" i="5"/>
  <c r="E161" i="5" s="1"/>
  <c r="D160" i="5"/>
  <c r="O360" i="5"/>
  <c r="F340" i="5" s="1"/>
  <c r="F338" i="5"/>
  <c r="O325" i="5"/>
  <c r="G310" i="5"/>
  <c r="F310" i="5"/>
  <c r="H310" i="5" s="1"/>
  <c r="K299" i="5"/>
  <c r="O320" i="5"/>
  <c r="G305" i="5"/>
  <c r="F305" i="5"/>
  <c r="O321" i="5"/>
  <c r="G306" i="5"/>
  <c r="F306" i="5"/>
  <c r="H306" i="5" s="1"/>
  <c r="O322" i="5"/>
  <c r="G307" i="5"/>
  <c r="F307" i="5"/>
  <c r="H307" i="5" s="1"/>
  <c r="O323" i="5"/>
  <c r="G308" i="5"/>
  <c r="F308" i="5"/>
  <c r="H308" i="5" s="1"/>
  <c r="O324" i="5"/>
  <c r="G309" i="5"/>
  <c r="F309" i="5"/>
  <c r="H309" i="5" s="1"/>
  <c r="K169" i="5"/>
  <c r="G175" i="5"/>
  <c r="F175" i="5"/>
  <c r="G176" i="5"/>
  <c r="F176" i="5"/>
  <c r="H176" i="5" s="1"/>
  <c r="G177" i="5"/>
  <c r="F177" i="5"/>
  <c r="H177" i="5" s="1"/>
  <c r="G178" i="5"/>
  <c r="F178" i="5"/>
  <c r="H178" i="5" s="1"/>
  <c r="G179" i="5"/>
  <c r="F179" i="5"/>
  <c r="H179" i="5" s="1"/>
  <c r="G180" i="5"/>
  <c r="F180" i="5"/>
  <c r="H180" i="5" s="1"/>
  <c r="K22" i="5"/>
  <c r="G28" i="5"/>
  <c r="F28" i="5"/>
  <c r="G29" i="5"/>
  <c r="F29" i="5"/>
  <c r="H29" i="5" s="1"/>
  <c r="G30" i="5"/>
  <c r="F30" i="5"/>
  <c r="H30" i="5" s="1"/>
  <c r="G31" i="5"/>
  <c r="F31" i="5"/>
  <c r="H31" i="5" s="1"/>
  <c r="G32" i="5"/>
  <c r="F32" i="5"/>
  <c r="H32" i="5" s="1"/>
  <c r="G33" i="5"/>
  <c r="F33" i="5"/>
  <c r="H33" i="5" s="1"/>
  <c r="E163" i="5"/>
  <c r="E162" i="5"/>
  <c r="E160" i="5"/>
  <c r="E159" i="5"/>
  <c r="E158" i="5"/>
  <c r="C351" i="5"/>
  <c r="C350" i="5"/>
  <c r="C349" i="5"/>
  <c r="C348" i="5"/>
  <c r="C347" i="5"/>
  <c r="C346" i="5"/>
  <c r="D293" i="5"/>
  <c r="D292" i="5"/>
  <c r="D291" i="5"/>
  <c r="D290" i="5"/>
  <c r="D289" i="5"/>
  <c r="D288" i="5"/>
  <c r="D351" i="5"/>
  <c r="E351" i="5" s="1"/>
  <c r="D350" i="5"/>
  <c r="E350" i="5" s="1"/>
  <c r="D349" i="5"/>
  <c r="E349" i="5" s="1"/>
  <c r="D348" i="5"/>
  <c r="E348" i="5" s="1"/>
  <c r="D347" i="5"/>
  <c r="E347" i="5" s="1"/>
  <c r="D346" i="5"/>
  <c r="E346" i="5" s="1"/>
  <c r="H305" i="5" l="1"/>
  <c r="K302" i="5" s="1"/>
  <c r="K306" i="5" s="1"/>
  <c r="E340" i="5" s="1"/>
  <c r="K300" i="5"/>
  <c r="K304" i="5" s="1"/>
  <c r="E338" i="5" s="1"/>
  <c r="H175" i="5"/>
  <c r="K172" i="5" s="1"/>
  <c r="K176" i="5" s="1"/>
  <c r="E210" i="5" s="1"/>
  <c r="K170" i="5"/>
  <c r="K174" i="5" s="1"/>
  <c r="E208" i="5" s="1"/>
  <c r="H28" i="5"/>
  <c r="K25" i="5" s="1"/>
  <c r="K29" i="5" s="1"/>
  <c r="D80" i="5" s="1"/>
  <c r="K23" i="5"/>
  <c r="K27" i="5" s="1"/>
  <c r="D78" i="5" s="1"/>
  <c r="G163" i="5"/>
  <c r="F163" i="5"/>
  <c r="H163" i="5" s="1"/>
  <c r="G162" i="5"/>
  <c r="F162" i="5"/>
  <c r="H162" i="5" s="1"/>
  <c r="G161" i="5"/>
  <c r="F161" i="5"/>
  <c r="H161" i="5" s="1"/>
  <c r="G160" i="5"/>
  <c r="F160" i="5"/>
  <c r="H160" i="5" s="1"/>
  <c r="G159" i="5"/>
  <c r="F159" i="5"/>
  <c r="H159" i="5" s="1"/>
  <c r="K152" i="5"/>
  <c r="G158" i="5"/>
  <c r="F158" i="5"/>
  <c r="E293" i="5"/>
  <c r="L325" i="5"/>
  <c r="E292" i="5"/>
  <c r="L324" i="5"/>
  <c r="E291" i="5"/>
  <c r="L323" i="5"/>
  <c r="E290" i="5"/>
  <c r="L322" i="5"/>
  <c r="E289" i="5"/>
  <c r="L321" i="5"/>
  <c r="E288" i="5"/>
  <c r="L320" i="5"/>
  <c r="K301" i="5"/>
  <c r="K305" i="5" s="1"/>
  <c r="E339" i="5" s="1"/>
  <c r="K171" i="5"/>
  <c r="K175" i="5" s="1"/>
  <c r="E209" i="5" s="1"/>
  <c r="K24" i="5"/>
  <c r="K28" i="5" s="1"/>
  <c r="D79" i="5" s="1"/>
  <c r="H158" i="5" l="1"/>
  <c r="K155" i="5" s="1"/>
  <c r="K159" i="5" s="1"/>
  <c r="D210" i="5" s="1"/>
  <c r="K153" i="5"/>
  <c r="K157" i="5" s="1"/>
  <c r="D208" i="5" s="1"/>
  <c r="M325" i="5"/>
  <c r="G293" i="5"/>
  <c r="F293" i="5"/>
  <c r="H293" i="5" s="1"/>
  <c r="M324" i="5"/>
  <c r="G292" i="5"/>
  <c r="F292" i="5"/>
  <c r="H292" i="5" s="1"/>
  <c r="G291" i="5"/>
  <c r="M323" i="5"/>
  <c r="F291" i="5"/>
  <c r="H291" i="5" s="1"/>
  <c r="M322" i="5"/>
  <c r="G290" i="5"/>
  <c r="F290" i="5"/>
  <c r="H290" i="5" s="1"/>
  <c r="F289" i="5"/>
  <c r="H289" i="5" s="1"/>
  <c r="M321" i="5"/>
  <c r="G289" i="5"/>
  <c r="G288" i="5"/>
  <c r="K282" i="5"/>
  <c r="M320" i="5"/>
  <c r="F288" i="5"/>
  <c r="K154" i="5"/>
  <c r="K158" i="5" s="1"/>
  <c r="D209" i="5" s="1"/>
  <c r="K284" i="5" l="1"/>
  <c r="H288" i="5"/>
  <c r="K285" i="5" s="1"/>
  <c r="K289" i="5" s="1"/>
  <c r="D340" i="5" s="1"/>
  <c r="K283" i="5"/>
  <c r="K287" i="5" s="1"/>
  <c r="D338" i="5" s="1"/>
  <c r="K288" i="5"/>
  <c r="D339" i="5" s="1"/>
</calcChain>
</file>

<file path=xl/sharedStrings.xml><?xml version="1.0" encoding="utf-8"?>
<sst xmlns="http://schemas.openxmlformats.org/spreadsheetml/2006/main" count="499" uniqueCount="93">
  <si>
    <t>Month</t>
  </si>
  <si>
    <t>Product</t>
  </si>
  <si>
    <t>Actual Monthly Sales (units)</t>
  </si>
  <si>
    <t>Previous Company Forecast (units)</t>
  </si>
  <si>
    <t>Defect Rate (%)</t>
  </si>
  <si>
    <t>Labour Hours</t>
  </si>
  <si>
    <t>Available Production Capacity (units)</t>
  </si>
  <si>
    <t>Unit Production Cost (EGP)</t>
  </si>
  <si>
    <t>Unit Selling Price (EGP)</t>
  </si>
  <si>
    <t>Jan</t>
  </si>
  <si>
    <t>Nile Espresso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</si>
  <si>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</si>
  <si>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</si>
  <si>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</si>
  <si>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</si>
  <si>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</si>
  <si>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</si>
  <si>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</si>
  <si>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</si>
  <si>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</si>
  <si>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</si>
  <si>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</si>
  <si>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Cairo House Blend</t>
  </si>
  <si>
    <t>Nile Cold Brew</t>
  </si>
  <si>
    <t>Profit</t>
  </si>
  <si>
    <t>Row Labels</t>
  </si>
  <si>
    <t>Grand Total</t>
  </si>
  <si>
    <t>Sum of Actual Monthly Sales (units)</t>
  </si>
  <si>
    <t>Column Labels</t>
  </si>
  <si>
    <t>Sum of Profit</t>
  </si>
  <si>
    <t>Sum of Unit Selling Price (EGP)</t>
  </si>
  <si>
    <t>Sum of Unit Production Cost (EGP)</t>
  </si>
  <si>
    <t>Sum of Available Production Capacity (units)</t>
  </si>
  <si>
    <t>Sum of Previous Company Forecast (units)</t>
  </si>
  <si>
    <t>Nile Coffee — Dashboard Analysis</t>
  </si>
  <si>
    <t>Nile Espresso — Demand analysis and forecasting</t>
  </si>
  <si>
    <t>Period</t>
  </si>
  <si>
    <t>Sales (units)</t>
  </si>
  <si>
    <t>Simple moving average</t>
  </si>
  <si>
    <t>Window (months):</t>
  </si>
  <si>
    <t>Demand</t>
  </si>
  <si>
    <t>Forecast</t>
  </si>
  <si>
    <t>Error (A-F)</t>
  </si>
  <si>
    <t>|Error|</t>
  </si>
  <si>
    <t>Error^2</t>
  </si>
  <si>
    <t>Absolute % error</t>
  </si>
  <si>
    <t>n</t>
  </si>
  <si>
    <t>Sum absolute errors</t>
  </si>
  <si>
    <t>Sum squared errors</t>
  </si>
  <si>
    <t>Sum absolute % error</t>
  </si>
  <si>
    <t xml:space="preserve">MAD </t>
  </si>
  <si>
    <t xml:space="preserve">MSE </t>
  </si>
  <si>
    <t xml:space="preserve">MAPE </t>
  </si>
  <si>
    <t>Linear Trend</t>
  </si>
  <si>
    <t>ty</t>
  </si>
  <si>
    <t>t^2</t>
  </si>
  <si>
    <t>Forecast (MA)</t>
  </si>
  <si>
    <t>Error</t>
  </si>
  <si>
    <t>Forecast (trend)</t>
  </si>
  <si>
    <t>b</t>
  </si>
  <si>
    <t>Sum t</t>
  </si>
  <si>
    <t>a</t>
  </si>
  <si>
    <t>Sum y</t>
  </si>
  <si>
    <t>Sum ty</t>
  </si>
  <si>
    <t>Sum t²</t>
  </si>
  <si>
    <t>(Sum t)²</t>
  </si>
  <si>
    <t>Summary table</t>
  </si>
  <si>
    <t>Moving average</t>
  </si>
  <si>
    <t>Linear trend</t>
  </si>
  <si>
    <t>Company forecast</t>
  </si>
  <si>
    <t>Next six months — forecast demand (units)</t>
  </si>
  <si>
    <t>Selected forecast</t>
  </si>
  <si>
    <t>Method</t>
  </si>
  <si>
    <t>Jan (next year)</t>
  </si>
  <si>
    <t>Feb (next year)</t>
  </si>
  <si>
    <t>Mar (next year)</t>
  </si>
  <si>
    <t>Apr (next year)</t>
  </si>
  <si>
    <t>May (next year)</t>
  </si>
  <si>
    <t>Jun (next year)</t>
  </si>
  <si>
    <t>Window selection and previous-company-forecast comparison — July to December</t>
  </si>
  <si>
    <t>Actual</t>
  </si>
  <si>
    <t>MA(2)</t>
  </si>
  <si>
    <t>MA(3)</t>
  </si>
  <si>
    <t>MA(4)</t>
  </si>
  <si>
    <t>MA(5)</t>
  </si>
  <si>
    <t>MA(6)</t>
  </si>
  <si>
    <t>Error (A−F)</t>
  </si>
  <si>
    <t>Absolute error</t>
  </si>
  <si>
    <t>Squared error</t>
  </si>
  <si>
    <t>MAD</t>
  </si>
  <si>
    <t>MSE</t>
  </si>
  <si>
    <t>Cairo House Blend — Demand analysis and forecasting</t>
  </si>
  <si>
    <t>Nile Cold Brew — Demand analysis and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</si>
</sst>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1"/>
    </font>
    <font>
      <sz val="12"/>
      <color theme="1"/>
      <name val="Arial"/>
      <family val="1"/>
    </font>
    <font>
      <b/>
      <sz val="12"/>
      <color theme="0"/>
      <name val="Arial"/>
      <family val="1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342C2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7"/>
      <color rgb="FFFDF9F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0000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1"/>
      </patternFill>
    </fill>
    <fill>
      <patternFill patternType="solid">
        <fgColor rgb="FFFFDA65"/>
      </patternFill>
    </fill>
    <fill>
      <patternFill patternType="solid">
        <fgColor rgb="FFF4F0E9"/>
      </patternFill>
    </fill>
    <fill>
      <patternFill patternType="solid">
        <fgColor rgb="FF342C26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33333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9" fillId="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StyleXfs>
  <cellXfs count="86">
    <xf numFmtId="0" fontId="0" fillId="0" borderId="0" xfId="0"/>
    <xf numFmtId="0" fontId="18" fillId="6" borderId="7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1" applyFont="1"/>
    <xf numFmtId="0" fontId="1" fillId="2" borderId="1" xfId="1" applyFont="1" applyAlignment="1">
      <alignment horizontal="center" wrapText="1"/>
    </xf>
    <xf numFmtId="0" fontId="1" fillId="2" borderId="1" xfId="1" applyFont="1" applyAlignment="1">
      <alignment horizontal="right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4" fillId="2" borderId="6" xfId="1" applyFont="1" applyBorder="1" applyAlignment="1">
      <alignment horizontal="center" vertical="center" wrapText="1"/>
    </xf>
    <xf numFmtId="0" fontId="4" fillId="2" borderId="1" xfId="1" applyFont="1" applyAlignment="1">
      <alignment horizontal="center" vertical="center" wrapText="1"/>
    </xf>
    <xf numFmtId="2" fontId="4" fillId="2" borderId="1" xfId="1" applyNumberFormat="1" applyFont="1" applyAlignment="1">
      <alignment horizontal="center" vertical="center" wrapText="1"/>
    </xf>
    <xf numFmtId="10" fontId="4" fillId="2" borderId="1" xfId="1" applyNumberFormat="1" applyFont="1" applyAlignment="1">
      <alignment horizontal="center" vertical="center" wrapText="1"/>
    </xf>
    <xf numFmtId="0" fontId="3" fillId="2" borderId="3" xfId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" fillId="2" borderId="2" xfId="1" applyFont="1" applyBorder="1" applyAlignment="1">
      <alignment horizontal="center" vertical="center"/>
    </xf>
    <xf numFmtId="1" fontId="1" fillId="2" borderId="2" xfId="1" applyNumberFormat="1" applyFont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2" fontId="1" fillId="2" borderId="2" xfId="1" applyNumberFormat="1" applyFont="1" applyBorder="1" applyAlignment="1">
      <alignment horizontal="center" vertical="center"/>
    </xf>
    <xf numFmtId="10" fontId="1" fillId="2" borderId="2" xfId="1" applyNumberFormat="1" applyFont="1" applyBorder="1" applyAlignment="1">
      <alignment horizontal="center" vertical="center"/>
    </xf>
    <xf numFmtId="0" fontId="2" fillId="2" borderId="1" xfId="1" applyFont="1"/>
    <xf numFmtId="0" fontId="2" fillId="7" borderId="2" xfId="1" applyFont="1" applyFill="1" applyBorder="1" applyAlignment="1">
      <alignment horizontal="center" vertical="center"/>
    </xf>
    <xf numFmtId="2" fontId="1" fillId="7" borderId="2" xfId="1" applyNumberFormat="1" applyFont="1" applyFill="1" applyBorder="1" applyAlignment="1">
      <alignment horizontal="center" vertical="center"/>
    </xf>
    <xf numFmtId="2" fontId="4" fillId="3" borderId="5" xfId="1" applyNumberFormat="1" applyFont="1" applyFill="1" applyBorder="1" applyAlignment="1">
      <alignment horizontal="center" vertical="center" wrapText="1"/>
    </xf>
    <xf numFmtId="2" fontId="4" fillId="2" borderId="6" xfId="1" applyNumberFormat="1" applyFont="1" applyBorder="1" applyAlignment="1">
      <alignment horizontal="center" vertical="center" wrapText="1"/>
    </xf>
    <xf numFmtId="10" fontId="4" fillId="2" borderId="6" xfId="1" applyNumberFormat="1" applyFont="1" applyBorder="1" applyAlignment="1">
      <alignment horizontal="center" vertical="center" wrapText="1"/>
    </xf>
    <xf numFmtId="10" fontId="1" fillId="7" borderId="2" xfId="1" applyNumberFormat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 wrapText="1"/>
    </xf>
    <xf numFmtId="0" fontId="1" fillId="2" borderId="2" xfId="1" applyFont="1" applyBorder="1" applyAlignment="1">
      <alignment horizontal="center" vertical="center"/>
    </xf>
    <xf numFmtId="2" fontId="4" fillId="6" borderId="5" xfId="1" applyNumberFormat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 wrapText="1"/>
    </xf>
    <xf numFmtId="0" fontId="1" fillId="2" borderId="1" xfId="1" applyFont="1" applyAlignment="1">
      <alignment horizontal="center" vertical="center"/>
    </xf>
    <xf numFmtId="0" fontId="5" fillId="8" borderId="12" xfId="1" applyFont="1" applyFill="1" applyBorder="1" applyAlignment="1">
      <alignment horizontal="center" vertical="center" wrapText="1"/>
    </xf>
    <xf numFmtId="0" fontId="6" fillId="8" borderId="12" xfId="1" applyFont="1" applyFill="1" applyBorder="1" applyAlignment="1">
      <alignment horizontal="center" wrapText="1"/>
    </xf>
    <xf numFmtId="0" fontId="4" fillId="2" borderId="5" xfId="1" applyFont="1" applyBorder="1" applyAlignment="1">
      <alignment horizontal="center" vertical="center" wrapText="1"/>
    </xf>
    <xf numFmtId="0" fontId="4" fillId="2" borderId="12" xfId="1" applyFont="1" applyBorder="1" applyAlignment="1">
      <alignment horizontal="center" vertical="center" wrapText="1"/>
    </xf>
    <xf numFmtId="0" fontId="1" fillId="2" borderId="12" xfId="1" applyFont="1" applyBorder="1"/>
    <xf numFmtId="2" fontId="1" fillId="2" borderId="12" xfId="1" applyNumberFormat="1" applyFont="1" applyBorder="1"/>
    <xf numFmtId="0" fontId="1" fillId="7" borderId="10" xfId="1" applyFont="1" applyFill="1" applyBorder="1" applyAlignment="1">
      <alignment horizontal="center" vertical="center"/>
    </xf>
    <xf numFmtId="0" fontId="1" fillId="2" borderId="11" xfId="1" applyFont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1" fillId="7" borderId="8" xfId="1" applyFont="1" applyFill="1" applyBorder="1" applyAlignment="1">
      <alignment horizontal="center" vertical="center"/>
    </xf>
    <xf numFmtId="0" fontId="1" fillId="2" borderId="5" xfId="1" applyFont="1" applyBorder="1" applyAlignment="1">
      <alignment horizontal="center" vertical="center"/>
    </xf>
    <xf numFmtId="0" fontId="7" fillId="2" borderId="1" xfId="1" applyFont="1" applyAlignment="1">
      <alignment horizontal="center" vertical="center" wrapText="1"/>
    </xf>
    <xf numFmtId="0" fontId="1" fillId="6" borderId="2" xfId="1" applyFont="1" applyFill="1" applyBorder="1" applyAlignment="1">
      <alignment horizontal="center" vertical="center"/>
    </xf>
    <xf numFmtId="4" fontId="1" fillId="2" borderId="2" xfId="1" applyNumberFormat="1" applyFont="1" applyBorder="1" applyAlignment="1">
      <alignment horizontal="center" vertical="center"/>
    </xf>
    <xf numFmtId="4" fontId="1" fillId="2" borderId="1" xfId="1" applyNumberFormat="1" applyFont="1"/>
    <xf numFmtId="0" fontId="8" fillId="10" borderId="14" xfId="2" applyFont="1" applyFill="1"/>
    <xf numFmtId="0" fontId="16" fillId="7" borderId="2" xfId="1" applyFont="1" applyFill="1" applyBorder="1" applyAlignment="1">
      <alignment horizontal="center" vertical="center"/>
    </xf>
    <xf numFmtId="0" fontId="20" fillId="9" borderId="13" xfId="1" applyFont="1" applyFill="1" applyBorder="1" applyAlignment="1">
      <alignment horizontal="center" vertical="center" wrapText="1"/>
    </xf>
    <xf numFmtId="2" fontId="21" fillId="9" borderId="13" xfId="1" applyNumberFormat="1" applyFont="1" applyFill="1" applyBorder="1" applyAlignment="1">
      <alignment horizontal="center" vertical="center" wrapText="1"/>
    </xf>
    <xf numFmtId="0" fontId="22" fillId="9" borderId="1" xfId="1" applyFont="1" applyFill="1" applyBorder="1" applyAlignment="1">
      <alignment vertical="center"/>
    </xf>
    <xf numFmtId="0" fontId="14" fillId="7" borderId="7" xfId="1" applyFont="1" applyFill="1" applyBorder="1" applyAlignment="1">
      <alignment horizontal="center" vertical="center"/>
    </xf>
    <xf numFmtId="0" fontId="15" fillId="7" borderId="9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17" fillId="7" borderId="4" xfId="1" applyFont="1" applyFill="1" applyBorder="1" applyAlignment="1">
      <alignment horizontal="center" vertical="center"/>
    </xf>
    <xf numFmtId="0" fontId="18" fillId="6" borderId="7" xfId="1" applyFont="1" applyFill="1" applyBorder="1" applyAlignment="1">
      <alignment horizontal="center" vertical="center"/>
    </xf>
    <xf numFmtId="0" fontId="19" fillId="6" borderId="4" xfId="1" applyFont="1" applyFill="1" applyBorder="1" applyAlignment="1">
      <alignment horizontal="center" vertical="center"/>
    </xf>
    <xf numFmtId="0" fontId="23" fillId="11" borderId="15" xfId="0" applyFont="1" applyFill="1" applyBorder="1" applyAlignment="1">
      <alignment horizontal="center" vertical="center"/>
    </xf>
    <xf numFmtId="10" fontId="1" fillId="2" borderId="21" xfId="1" applyNumberFormat="1" applyFont="1" applyFill="1" applyBorder="1" applyAlignment="1"/>
    <xf numFmtId="4" fontId="1" fillId="2" borderId="20" xfId="1" applyNumberFormat="1" applyFont="1" applyFill="1" applyBorder="1" applyAlignment="1"/>
    <xf numFmtId="4" fontId="1" fillId="2" borderId="16" xfId="1" applyNumberFormat="1" applyFont="1" applyFill="1" applyBorder="1" applyAlignment="1"/>
    <xf numFmtId="0" fontId="20" fillId="9" borderId="22" xfId="1" applyFont="1" applyFill="1" applyBorder="1" applyAlignment="1">
      <alignment horizontal="center" vertical="center" wrapText="1"/>
    </xf>
    <xf numFmtId="0" fontId="1" fillId="2" borderId="16" xfId="1" applyFont="1" applyFill="1" applyBorder="1" applyAlignment="1"/>
    <xf numFmtId="3" fontId="1" fillId="2" borderId="16" xfId="1" applyNumberFormat="1" applyFont="1" applyFill="1" applyBorder="1" applyAlignment="1"/>
    <xf numFmtId="10" fontId="1" fillId="2" borderId="16" xfId="1" applyNumberFormat="1" applyFont="1" applyFill="1" applyBorder="1" applyAlignment="1"/>
    <xf numFmtId="0" fontId="14" fillId="7" borderId="16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9" fillId="7" borderId="23" xfId="1" applyFont="1" applyFill="1" applyBorder="1" applyAlignment="1">
      <alignment horizontal="center" vertical="center"/>
    </xf>
    <xf numFmtId="0" fontId="10" fillId="7" borderId="24" xfId="1" applyFont="1" applyFill="1" applyBorder="1" applyAlignment="1">
      <alignment horizontal="center" vertical="center"/>
    </xf>
    <xf numFmtId="0" fontId="11" fillId="2" borderId="24" xfId="1" applyFont="1" applyFill="1" applyBorder="1" applyAlignment="1">
      <alignment vertical="center"/>
    </xf>
    <xf numFmtId="0" fontId="12" fillId="2" borderId="24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right" vertical="center" wrapText="1"/>
    </xf>
    <xf numFmtId="0" fontId="11" fillId="2" borderId="25" xfId="1" applyFont="1" applyFill="1" applyBorder="1" applyAlignment="1">
      <alignment vertical="center"/>
    </xf>
    <xf numFmtId="0" fontId="9" fillId="7" borderId="18" xfId="1" applyFont="1" applyFill="1" applyBorder="1" applyAlignment="1">
      <alignment horizontal="center" vertical="center"/>
    </xf>
    <xf numFmtId="0" fontId="10" fillId="7" borderId="17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vertical="center"/>
    </xf>
    <xf numFmtId="0" fontId="12" fillId="2" borderId="19" xfId="1" applyFont="1" applyFill="1" applyBorder="1" applyAlignment="1">
      <alignment horizontal="center" vertical="center" wrapText="1"/>
    </xf>
    <xf numFmtId="0" fontId="13" fillId="2" borderId="19" xfId="1" applyFont="1" applyFill="1" applyBorder="1" applyAlignment="1">
      <alignment horizontal="right" vertical="center" wrapText="1"/>
    </xf>
    <xf numFmtId="0" fontId="11" fillId="2" borderId="17" xfId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[Nile_coffee_readable_headings.xlsx]PivotTables!PivotTable2</c:name>
    <c:fmtId val="16"/>
  </c:pivotSource>
  <c:chart>
    <c:title>
      <c:tx>
        <c:rich>
          <a:bodyPr/>
          <a:lstStyle/>
          <a:p>
            <a:pPr>
              <a:defRPr/>
            </a:pPr>
            <a:r>
              <a:rPr lang="en-US" sz="1350" b="1"/>
              <a:t>Sales per month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749527636175746E-2"/>
          <c:y val="0.10416083776329989"/>
          <c:w val="0.745061735059807"/>
          <c:h val="0.750398230678018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PivotTables!$B$3:$B$4</c:f>
              <c:strCache>
                <c:ptCount val="1"/>
                <c:pt idx="0">
                  <c:v>Cairo House Blend</c:v>
                </c:pt>
              </c:strCache>
            </c:strRef>
          </c:tx>
          <c:invertIfNegative val="0"/>
          <c:cat>
            <c:strRef>
              <c:f>PivotTables!$A$5:$A$17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PivotTables!$B$5:$B$17</c:f>
              <c:numCache>
                <c:formatCode>General</c:formatCode>
                <c:ptCount val="12"/>
                <c:pt idx="0">
                  <c:v>6000</c:v>
                </c:pt>
                <c:pt idx="1">
                  <c:v>5800</c:v>
                </c:pt>
                <c:pt idx="2">
                  <c:v>6500</c:v>
                </c:pt>
                <c:pt idx="3">
                  <c:v>6800</c:v>
                </c:pt>
                <c:pt idx="4">
                  <c:v>7200</c:v>
                </c:pt>
                <c:pt idx="5">
                  <c:v>7600</c:v>
                </c:pt>
                <c:pt idx="6">
                  <c:v>8200</c:v>
                </c:pt>
                <c:pt idx="7">
                  <c:v>8000</c:v>
                </c:pt>
                <c:pt idx="8">
                  <c:v>7500</c:v>
                </c:pt>
                <c:pt idx="9">
                  <c:v>8400</c:v>
                </c:pt>
                <c:pt idx="10">
                  <c:v>9100</c:v>
                </c:pt>
                <c:pt idx="11">
                  <c:v>10200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274-431A-A230-7095E821A2F5}"/>
            </c:ext>
          </c:extLst>
        </c:ser>
        <c:ser>
          <c:idx val="1"/>
          <c:order val="1"/>
          <c:tx>
            <c:strRef>
              <c:f>PivotTables!$C$3:$C$4</c:f>
              <c:strCache>
                <c:ptCount val="1"/>
                <c:pt idx="0">
                  <c:v>Nile Cold Brew</c:v>
                </c:pt>
              </c:strCache>
            </c:strRef>
          </c:tx>
          <c:invertIfNegative val="0"/>
          <c:cat>
            <c:strRef>
              <c:f>PivotTables!$A$5:$A$17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PivotTables!$C$5:$C$17</c:f>
              <c:numCache>
                <c:formatCode>General</c:formatCode>
                <c:ptCount val="12"/>
                <c:pt idx="0">
                  <c:v>2500</c:v>
                </c:pt>
                <c:pt idx="1">
                  <c:v>2300</c:v>
                </c:pt>
                <c:pt idx="2">
                  <c:v>3000</c:v>
                </c:pt>
                <c:pt idx="3">
                  <c:v>3400</c:v>
                </c:pt>
                <c:pt idx="4">
                  <c:v>3900</c:v>
                </c:pt>
                <c:pt idx="5">
                  <c:v>4500</c:v>
                </c:pt>
                <c:pt idx="6">
                  <c:v>5200</c:v>
                </c:pt>
                <c:pt idx="7">
                  <c:v>5000</c:v>
                </c:pt>
                <c:pt idx="8">
                  <c:v>4200</c:v>
                </c:pt>
                <c:pt idx="9">
                  <c:v>5600</c:v>
                </c:pt>
                <c:pt idx="10">
                  <c:v>6500</c:v>
                </c:pt>
                <c:pt idx="11">
                  <c:v>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274-431A-A230-7095E821A2F5}"/>
            </c:ext>
          </c:extLst>
        </c:ser>
        <c:ser>
          <c:idx val="2"/>
          <c:order val="2"/>
          <c:tx>
            <c:strRef>
              <c:f>PivotTables!$D$3:$D$4</c:f>
              <c:strCache>
                <c:ptCount val="1"/>
                <c:pt idx="0">
                  <c:v>Nile Espresso</c:v>
                </c:pt>
              </c:strCache>
            </c:strRef>
          </c:tx>
          <c:invertIfNegative val="0"/>
          <c:cat>
            <c:strRef>
              <c:f>PivotTables!$A$5:$A$17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PivotTables!$D$5:$D$17</c:f>
              <c:numCache>
                <c:formatCode>General</c:formatCode>
                <c:ptCount val="12"/>
                <c:pt idx="0">
                  <c:v>4200</c:v>
                </c:pt>
                <c:pt idx="1">
                  <c:v>4000</c:v>
                </c:pt>
                <c:pt idx="2">
                  <c:v>4600</c:v>
                </c:pt>
                <c:pt idx="3">
                  <c:v>4800</c:v>
                </c:pt>
                <c:pt idx="4">
                  <c:v>5200</c:v>
                </c:pt>
                <c:pt idx="5">
                  <c:v>5600</c:v>
                </c:pt>
                <c:pt idx="6">
                  <c:v>6100</c:v>
                </c:pt>
                <c:pt idx="7">
                  <c:v>5900</c:v>
                </c:pt>
                <c:pt idx="8">
                  <c:v>5500</c:v>
                </c:pt>
                <c:pt idx="9">
                  <c:v>6200</c:v>
                </c:pt>
                <c:pt idx="10">
                  <c:v>6800</c:v>
                </c:pt>
                <c:pt idx="11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274-431A-A230-7095E821A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392880"/>
        <c:axId val="1927424655"/>
      </c:barChart>
      <c:catAx>
        <c:axId val="63739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="horz" wrap="square" anchor="ctr" anchorCtr="1"/>
          <a:lstStyle/>
          <a:p>
            <a:pPr>
              <a:defRPr sz="75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7424655"/>
        <c:crosses val="autoZero"/>
        <c:auto val="1"/>
        <c:lblAlgn val="ctr"/>
        <c:lblOffset val="100"/>
        <c:noMultiLvlLbl val="0"/>
      </c:catAx>
      <c:valAx>
        <c:axId val="19274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 anchor="ctr" anchorCtr="1"/>
          <a:lstStyle/>
          <a:p>
            <a:pPr>
              <a:defRPr sz="75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73928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 anchor="ctr" anchorCtr="1"/>
        <a:lstStyle/>
        <a:p>
          <a:pPr>
            <a:defRPr sz="825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[Nile_coffee_readable_headings.xlsx]PivotTables!PivotTable2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50" b="1"/>
              <a:t>Time-series</a:t>
            </a:r>
            <a:r>
              <a:rPr lang="en-US" sz="1350" b="1" baseline="0"/>
              <a:t> Sales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3813">
            <a:solidFill>
              <a:srgbClr val="307D80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3813">
            <a:solidFill>
              <a:srgbClr val="6C4938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3813">
            <a:solidFill>
              <a:srgbClr val="AF7B3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PivotTables!$B$3:$B$4</c:f>
              <c:strCache>
                <c:ptCount val="1"/>
                <c:pt idx="0">
                  <c:v>Cairo House Blend</c:v>
                </c:pt>
              </c:strCache>
            </c:strRef>
          </c:tx>
          <c:spPr>
            <a:ln w="23813">
              <a:solidFill>
                <a:srgbClr val="AF7B31"/>
              </a:solidFill>
              <a:prstDash val="solid"/>
            </a:ln>
          </c:spPr>
          <c:marker>
            <c:symbol val="none"/>
          </c:marker>
          <c:cat>
            <c:strRef>
              <c:f>PivotTables!$A$5:$A$17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PivotTables!$B$5:$B$17</c:f>
              <c:numCache>
                <c:formatCode>General</c:formatCode>
                <c:ptCount val="12"/>
                <c:pt idx="0">
                  <c:v>6000</c:v>
                </c:pt>
                <c:pt idx="1">
                  <c:v>5800</c:v>
                </c:pt>
                <c:pt idx="2">
                  <c:v>6500</c:v>
                </c:pt>
                <c:pt idx="3">
                  <c:v>6800</c:v>
                </c:pt>
                <c:pt idx="4">
                  <c:v>7200</c:v>
                </c:pt>
                <c:pt idx="5">
                  <c:v>7600</c:v>
                </c:pt>
                <c:pt idx="6">
                  <c:v>8200</c:v>
                </c:pt>
                <c:pt idx="7">
                  <c:v>8000</c:v>
                </c:pt>
                <c:pt idx="8">
                  <c:v>7500</c:v>
                </c:pt>
                <c:pt idx="9">
                  <c:v>8400</c:v>
                </c:pt>
                <c:pt idx="10">
                  <c:v>9100</c:v>
                </c:pt>
                <c:pt idx="11">
                  <c:v>10200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D93-42D8-AC63-9111D2AA4B00}"/>
            </c:ext>
          </c:extLst>
        </c:ser>
        <c:ser>
          <c:idx val="1"/>
          <c:order val="1"/>
          <c:tx>
            <c:strRef>
              <c:f>PivotTables!$C$3:$C$4</c:f>
              <c:strCache>
                <c:ptCount val="1"/>
                <c:pt idx="0">
                  <c:v>Nile Cold Brew</c:v>
                </c:pt>
              </c:strCache>
            </c:strRef>
          </c:tx>
          <c:spPr>
            <a:ln w="23813">
              <a:solidFill>
                <a:srgbClr val="307D80"/>
              </a:solidFill>
              <a:prstDash val="solid"/>
            </a:ln>
          </c:spPr>
          <c:marker>
            <c:symbol val="none"/>
          </c:marker>
          <c:cat>
            <c:strRef>
              <c:f>PivotTables!$A$5:$A$17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PivotTables!$C$5:$C$17</c:f>
              <c:numCache>
                <c:formatCode>General</c:formatCode>
                <c:ptCount val="12"/>
                <c:pt idx="0">
                  <c:v>2500</c:v>
                </c:pt>
                <c:pt idx="1">
                  <c:v>2300</c:v>
                </c:pt>
                <c:pt idx="2">
                  <c:v>3000</c:v>
                </c:pt>
                <c:pt idx="3">
                  <c:v>3400</c:v>
                </c:pt>
                <c:pt idx="4">
                  <c:v>3900</c:v>
                </c:pt>
                <c:pt idx="5">
                  <c:v>4500</c:v>
                </c:pt>
                <c:pt idx="6">
                  <c:v>5200</c:v>
                </c:pt>
                <c:pt idx="7">
                  <c:v>5000</c:v>
                </c:pt>
                <c:pt idx="8">
                  <c:v>4200</c:v>
                </c:pt>
                <c:pt idx="9">
                  <c:v>5600</c:v>
                </c:pt>
                <c:pt idx="10">
                  <c:v>6500</c:v>
                </c:pt>
                <c:pt idx="11">
                  <c:v>7800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D93-42D8-AC63-9111D2AA4B00}"/>
            </c:ext>
          </c:extLst>
        </c:ser>
        <c:ser>
          <c:idx val="2"/>
          <c:order val="2"/>
          <c:tx>
            <c:strRef>
              <c:f>PivotTables!$D$3:$D$4</c:f>
              <c:strCache>
                <c:ptCount val="1"/>
                <c:pt idx="0">
                  <c:v>Nile Espresso</c:v>
                </c:pt>
              </c:strCache>
            </c:strRef>
          </c:tx>
          <c:spPr>
            <a:ln w="23813">
              <a:solidFill>
                <a:srgbClr val="6C4938"/>
              </a:solidFill>
              <a:prstDash val="solid"/>
            </a:ln>
          </c:spPr>
          <c:marker>
            <c:symbol val="none"/>
          </c:marker>
          <c:cat>
            <c:strRef>
              <c:f>PivotTables!$A$5:$A$17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PivotTables!$D$5:$D$17</c:f>
              <c:numCache>
                <c:formatCode>General</c:formatCode>
                <c:ptCount val="12"/>
                <c:pt idx="0">
                  <c:v>4200</c:v>
                </c:pt>
                <c:pt idx="1">
                  <c:v>4000</c:v>
                </c:pt>
                <c:pt idx="2">
                  <c:v>4600</c:v>
                </c:pt>
                <c:pt idx="3">
                  <c:v>4800</c:v>
                </c:pt>
                <c:pt idx="4">
                  <c:v>5200</c:v>
                </c:pt>
                <c:pt idx="5">
                  <c:v>5600</c:v>
                </c:pt>
                <c:pt idx="6">
                  <c:v>6100</c:v>
                </c:pt>
                <c:pt idx="7">
                  <c:v>5900</c:v>
                </c:pt>
                <c:pt idx="8">
                  <c:v>5500</c:v>
                </c:pt>
                <c:pt idx="9">
                  <c:v>6200</c:v>
                </c:pt>
                <c:pt idx="10">
                  <c:v>6800</c:v>
                </c:pt>
                <c:pt idx="11">
                  <c:v>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D93-42D8-AC63-9111D2AA4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134303"/>
        <c:axId val="1503871471"/>
      </c:lineChart>
      <c:catAx>
        <c:axId val="168713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="horz" wrap="square" anchor="ctr" anchorCtr="1"/>
          <a:lstStyle/>
          <a:p>
            <a:pPr>
              <a:defRPr sz="75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871471"/>
        <c:crosses val="autoZero"/>
        <c:auto val="1"/>
        <c:lblAlgn val="ctr"/>
        <c:lblOffset val="100"/>
        <c:noMultiLvlLbl val="0"/>
      </c:catAx>
      <c:valAx>
        <c:axId val="150387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 anchor="ctr" anchorCtr="1"/>
          <a:lstStyle/>
          <a:p>
            <a:pPr>
              <a:defRPr sz="75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713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 anchor="ctr" anchorCtr="1"/>
        <a:lstStyle/>
        <a:p>
          <a:pPr>
            <a:defRPr sz="825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[Nile_coffee_readable_headings.xlsx]PivotTables!PivotTable12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50" b="1"/>
              <a:t>Total Profit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C4938"/>
          </a:solidFill>
          <a:ln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C4938"/>
            </a:solidFill>
            <a:ln>
              <a:noFill/>
            </a:ln>
          </c:spPr>
          <c:invertIfNegative val="0"/>
          <c:cat>
            <c:strRef>
              <c:f>PivotTables!$H$13:$H$16</c:f>
              <c:strCache>
                <c:ptCount val="3"/>
                <c:pt idx="0">
                  <c:v>Cairo House Blend</c:v>
                </c:pt>
                <c:pt idx="1">
                  <c:v>Nile Cold Brew</c:v>
                </c:pt>
                <c:pt idx="2">
                  <c:v>Nile Espresso</c:v>
                </c:pt>
              </c:strCache>
            </c:strRef>
          </c:cat>
          <c:val>
            <c:numRef>
              <c:f>PivotTables!$I$13:$I$16</c:f>
              <c:numCache>
                <c:formatCode>General</c:formatCode>
                <c:ptCount val="3"/>
                <c:pt idx="0">
                  <c:v>910</c:v>
                </c:pt>
                <c:pt idx="1">
                  <c:v>850</c:v>
                </c:pt>
                <c:pt idx="2">
                  <c:v>1390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1-4291-93A5-9E47BFADD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4237087"/>
        <c:axId val="274231807"/>
      </c:barChart>
      <c:catAx>
        <c:axId val="27423708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="horz" wrap="square" anchor="ctr" anchorCtr="1"/>
          <a:lstStyle/>
          <a:p>
            <a:pPr>
              <a:defRPr sz="75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231807"/>
        <c:crosses val="autoZero"/>
        <c:auto val="1"/>
        <c:lblAlgn val="ctr"/>
        <c:lblOffset val="100"/>
        <c:noMultiLvlLbl val="0"/>
      </c:catAx>
      <c:valAx>
        <c:axId val="27423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 anchor="ctr" anchorCtr="1"/>
          <a:lstStyle/>
          <a:p>
            <a:pPr>
              <a:defRPr sz="75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23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 anchor="ctr" anchorCtr="1"/>
        <a:lstStyle/>
        <a:p>
          <a:pPr>
            <a:defRPr sz="825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[Nile_coffee_readable_headings.xlsx]PivotTables!PivotTable15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50" b="1"/>
              <a:t>Actual</a:t>
            </a:r>
            <a:r>
              <a:rPr lang="en-US" sz="1350" b="1" baseline="0"/>
              <a:t> vs Forecasted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3813">
            <a:solidFill>
              <a:srgbClr val="307D80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3813">
            <a:solidFill>
              <a:srgbClr val="AF7B31"/>
            </a:solidFill>
            <a:prstDash val="dash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PivotTables!$I$40</c:f>
              <c:strCache>
                <c:ptCount val="1"/>
                <c:pt idx="0">
                  <c:v>Sum of Actual Monthly Sales (units)</c:v>
                </c:pt>
              </c:strCache>
            </c:strRef>
          </c:tx>
          <c:spPr>
            <a:ln w="23813">
              <a:solidFill>
                <a:srgbClr val="307D80"/>
              </a:solidFill>
              <a:prstDash val="solid"/>
            </a:ln>
          </c:spPr>
          <c:marker>
            <c:symbol val="none"/>
          </c:marker>
          <c:cat>
            <c:strRef>
              <c:f>PivotTables!$H$41:$H$53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PivotTables!$I$41:$I$53</c:f>
              <c:numCache>
                <c:formatCode>General</c:formatCode>
                <c:ptCount val="12"/>
                <c:pt idx="0">
                  <c:v>12700</c:v>
                </c:pt>
                <c:pt idx="1">
                  <c:v>12100</c:v>
                </c:pt>
                <c:pt idx="2">
                  <c:v>14100</c:v>
                </c:pt>
                <c:pt idx="3">
                  <c:v>15000</c:v>
                </c:pt>
                <c:pt idx="4">
                  <c:v>16300</c:v>
                </c:pt>
                <c:pt idx="5">
                  <c:v>17700</c:v>
                </c:pt>
                <c:pt idx="6">
                  <c:v>19500</c:v>
                </c:pt>
                <c:pt idx="7">
                  <c:v>18900</c:v>
                </c:pt>
                <c:pt idx="8">
                  <c:v>17200</c:v>
                </c:pt>
                <c:pt idx="9">
                  <c:v>20200</c:v>
                </c:pt>
                <c:pt idx="10">
                  <c:v>22400</c:v>
                </c:pt>
                <c:pt idx="11">
                  <c:v>25600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E-4A4F-A009-5ACEFC0FB9B8}"/>
            </c:ext>
          </c:extLst>
        </c:ser>
        <c:ser>
          <c:idx val="1"/>
          <c:order val="1"/>
          <c:tx>
            <c:strRef>
              <c:f>PivotTables!$J$40</c:f>
              <c:strCache>
                <c:ptCount val="1"/>
                <c:pt idx="0">
                  <c:v>Sum of Previous Company Forecast (units)</c:v>
                </c:pt>
              </c:strCache>
            </c:strRef>
          </c:tx>
          <c:spPr>
            <a:ln w="23813">
              <a:solidFill>
                <a:srgbClr val="AF7B31"/>
              </a:solidFill>
              <a:prstDash val="dash"/>
            </a:ln>
          </c:spPr>
          <c:marker>
            <c:symbol val="none"/>
          </c:marker>
          <c:cat>
            <c:strRef>
              <c:f>PivotTables!$H$41:$H$53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PivotTables!$J$41:$J$53</c:f>
              <c:numCache>
                <c:formatCode>General</c:formatCode>
                <c:ptCount val="12"/>
                <c:pt idx="0">
                  <c:v>12900</c:v>
                </c:pt>
                <c:pt idx="1">
                  <c:v>12500</c:v>
                </c:pt>
                <c:pt idx="2">
                  <c:v>13300</c:v>
                </c:pt>
                <c:pt idx="3">
                  <c:v>14500</c:v>
                </c:pt>
                <c:pt idx="4">
                  <c:v>15500</c:v>
                </c:pt>
                <c:pt idx="5">
                  <c:v>17000</c:v>
                </c:pt>
                <c:pt idx="6">
                  <c:v>18500</c:v>
                </c:pt>
                <c:pt idx="7">
                  <c:v>19900</c:v>
                </c:pt>
                <c:pt idx="8">
                  <c:v>18100</c:v>
                </c:pt>
                <c:pt idx="9">
                  <c:v>18900</c:v>
                </c:pt>
                <c:pt idx="10">
                  <c:v>21400</c:v>
                </c:pt>
                <c:pt idx="11">
                  <c:v>23900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E-4A4F-A009-5ACEFC0FB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168447"/>
        <c:axId val="274169407"/>
      </c:lineChart>
      <c:catAx>
        <c:axId val="2741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="horz" wrap="square" anchor="ctr" anchorCtr="1"/>
          <a:lstStyle/>
          <a:p>
            <a:pPr>
              <a:defRPr sz="75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169407"/>
        <c:crosses val="autoZero"/>
        <c:auto val="1"/>
        <c:lblAlgn val="ctr"/>
        <c:lblOffset val="100"/>
        <c:noMultiLvlLbl val="0"/>
      </c:catAx>
      <c:valAx>
        <c:axId val="27416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 anchor="ctr" anchorCtr="1"/>
          <a:lstStyle/>
          <a:p>
            <a:pPr>
              <a:defRPr sz="75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16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 anchor="ctr" anchorCtr="1"/>
        <a:lstStyle/>
        <a:p>
          <a:pPr>
            <a:defRPr sz="825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Nile Espresso — monthly sales (units)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(units)</c:v>
          </c:tx>
          <c:spPr>
            <a:ln w="19050">
              <a:solidFill>
                <a:srgbClr val="915F20"/>
              </a:solidFill>
              <a:prstDash val="solid"/>
            </a:ln>
          </c:spPr>
          <c:marker>
            <c:symbol val="none"/>
          </c:marker>
          <c:cat>
            <c:strRef>
              <c:f>'Demand Forecasting'!$C$5:$C$16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'Demand Forecasting'!$B$5:$B$16</c:f>
              <c:numCache>
                <c:formatCode>General</c:formatCode>
                <c:ptCount val="12"/>
                <c:pt idx="0">
                  <c:v>4200</c:v>
                </c:pt>
                <c:pt idx="1">
                  <c:v>4000</c:v>
                </c:pt>
                <c:pt idx="2">
                  <c:v>4600</c:v>
                </c:pt>
                <c:pt idx="3">
                  <c:v>4800</c:v>
                </c:pt>
                <c:pt idx="4">
                  <c:v>5200</c:v>
                </c:pt>
                <c:pt idx="5">
                  <c:v>5600</c:v>
                </c:pt>
                <c:pt idx="6">
                  <c:v>6100</c:v>
                </c:pt>
                <c:pt idx="7">
                  <c:v>5900</c:v>
                </c:pt>
                <c:pt idx="8">
                  <c:v>5500</c:v>
                </c:pt>
                <c:pt idx="9">
                  <c:v>6200</c:v>
                </c:pt>
                <c:pt idx="10">
                  <c:v>6800</c:v>
                </c:pt>
                <c:pt idx="11">
                  <c:v>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5-4285-9902-15B70F866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Cairo House Blend — monthly sales (units)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(units)</c:v>
          </c:tx>
          <c:spPr>
            <a:ln w="19050">
              <a:solidFill>
                <a:srgbClr val="915F20"/>
              </a:solidFill>
              <a:prstDash val="solid"/>
            </a:ln>
          </c:spPr>
          <c:marker>
            <c:symbol val="none"/>
          </c:marker>
          <c:cat>
            <c:strRef>
              <c:f>'Demand Forecasting'!$C$135:$C$146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'Demand Forecasting'!$B$135:$B$146</c:f>
              <c:numCache>
                <c:formatCode>General</c:formatCode>
                <c:ptCount val="12"/>
                <c:pt idx="0">
                  <c:v>6000</c:v>
                </c:pt>
                <c:pt idx="1">
                  <c:v>5800</c:v>
                </c:pt>
                <c:pt idx="2">
                  <c:v>6500</c:v>
                </c:pt>
                <c:pt idx="3">
                  <c:v>6800</c:v>
                </c:pt>
                <c:pt idx="4">
                  <c:v>7200</c:v>
                </c:pt>
                <c:pt idx="5">
                  <c:v>7600</c:v>
                </c:pt>
                <c:pt idx="6">
                  <c:v>8200</c:v>
                </c:pt>
                <c:pt idx="7">
                  <c:v>8000</c:v>
                </c:pt>
                <c:pt idx="8">
                  <c:v>7500</c:v>
                </c:pt>
                <c:pt idx="9">
                  <c:v>8400</c:v>
                </c:pt>
                <c:pt idx="10">
                  <c:v>9100</c:v>
                </c:pt>
                <c:pt idx="11">
                  <c:v>10200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E-4B47-A40B-01DAF1D0D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Nile Cold Brew — monthly sales (units)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(units)</c:v>
          </c:tx>
          <c:spPr>
            <a:ln w="19050">
              <a:solidFill>
                <a:srgbClr val="915F20"/>
              </a:solidFill>
              <a:prstDash val="solid"/>
            </a:ln>
          </c:spPr>
          <c:marker>
            <c:symbol val="none"/>
          </c:marker>
          <c:cat>
            <c:strRef>
              <c:f>'Demand Forecasting'!$C$265:$C$276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'Demand Forecasting'!$B$265:$B$276</c:f>
              <c:numCache>
                <c:formatCode>General</c:formatCode>
                <c:ptCount val="12"/>
                <c:pt idx="0">
                  <c:v>2500</c:v>
                </c:pt>
                <c:pt idx="1">
                  <c:v>2300</c:v>
                </c:pt>
                <c:pt idx="2">
                  <c:v>3000</c:v>
                </c:pt>
                <c:pt idx="3">
                  <c:v>3400</c:v>
                </c:pt>
                <c:pt idx="4">
                  <c:v>3900</c:v>
                </c:pt>
                <c:pt idx="5">
                  <c:v>4500</c:v>
                </c:pt>
                <c:pt idx="6">
                  <c:v>5200</c:v>
                </c:pt>
                <c:pt idx="7">
                  <c:v>5000</c:v>
                </c:pt>
                <c:pt idx="8">
                  <c:v>4200</c:v>
                </c:pt>
                <c:pt idx="9">
                  <c:v>5600</c:v>
                </c:pt>
                <c:pt idx="10">
                  <c:v>6500</c:v>
                </c:pt>
                <c:pt idx="11">
                  <c:v>7800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C-4D46-8115-F6FECB0E3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F7F66-BC6B-4AF2-9F22-BF5C54E51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5</xdr:row>
      <xdr:rowOff>0</xdr:rowOff>
    </xdr:from>
    <xdr:to>
      <xdr:col>26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B45124-9032-4460-88E5-982B1BD57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82A0F0-0E64-454C-AB69-BA9482041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26</xdr:row>
      <xdr:rowOff>0</xdr:rowOff>
    </xdr:from>
    <xdr:to>
      <xdr:col>26</xdr:col>
      <xdr:colOff>0</xdr:colOff>
      <xdr:row>46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57D6B8-7793-4057-B44E-CE754CEE7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133</xdr:row>
      <xdr:rowOff>0</xdr:rowOff>
    </xdr:from>
    <xdr:to>
      <xdr:col>15</xdr:col>
      <xdr:colOff>0</xdr:colOff>
      <xdr:row>147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263</xdr:row>
      <xdr:rowOff>0</xdr:rowOff>
    </xdr:from>
    <xdr:to>
      <xdr:col>15</xdr:col>
      <xdr:colOff>0</xdr:colOff>
      <xdr:row>277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mohamed" refreshedDate="46311.004875694445" createdVersion="8" refreshedVersion="8" minRefreshableVersion="3" recordCount="36" xr:uid="{DD69ED0D-5EE1-474D-A297-770553480D35}">
  <cacheSource type="worksheet">
    <worksheetSource ref="A1:J37" sheet="Raw_Dataset"/>
  </cacheSource>
  <cacheFields count="10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duct" numFmtId="0">
      <sharedItems count="3">
        <s v="Nile Espresso"/>
        <s v="Cairo House Blend"/>
        <s v="Nile Cold Brew"/>
      </sharedItems>
    </cacheField>
    <cacheField name="Actual Monthly Sales (units)" numFmtId="0">
      <sharedItems containsSemiMixedTypes="0" containsString="0" containsNumber="1" containsInteger="1" minValue="2300" maxValue="10200" count="30">
        <n v="4200"/>
        <n v="4000"/>
        <n v="4600"/>
        <n v="4800"/>
        <n v="5200"/>
        <n v="5600"/>
        <n v="6100"/>
        <n v="5900"/>
        <n v="5500"/>
        <n v="6200"/>
        <n v="6800"/>
        <n v="7600"/>
        <n v="6000"/>
        <n v="5800"/>
        <n v="6500"/>
        <n v="7200"/>
        <n v="8200"/>
        <n v="8000"/>
        <n v="7500"/>
        <n v="8400"/>
        <n v="9100"/>
        <n v="10200"/>
        <n v="2500"/>
        <n v="2300"/>
        <n v="3000"/>
        <n v="3400"/>
        <n v="3900"/>
        <n v="4500"/>
        <n v="5000"/>
        <n v="7800"/>
      </sharedItems>
    </cacheField>
    <cacheField name="Previous Company Forecast (units)" numFmtId="0">
      <sharedItems containsSemiMixedTypes="0" containsString="0" containsNumber="1" containsInteger="1" minValue="2400" maxValue="9700"/>
    </cacheField>
    <cacheField name="Defect Rate (%)" numFmtId="0">
      <sharedItems containsSemiMixedTypes="0" containsString="0" containsNumber="1" minValue="2.2000000000000002" maxValue="6.5"/>
    </cacheField>
    <cacheField name="Labour Hours" numFmtId="0">
      <sharedItems containsSemiMixedTypes="0" containsString="0" containsNumber="1" containsInteger="1" minValue="276" maxValue="936"/>
    </cacheField>
    <cacheField name="Available Production Capacity (units)" numFmtId="0">
      <sharedItems containsSemiMixedTypes="0" containsString="0" containsNumber="1" containsInteger="1" minValue="3000" maxValue="8000"/>
    </cacheField>
    <cacheField name="Unit Production Cost (EGP)" numFmtId="0">
      <sharedItems containsSemiMixedTypes="0" containsString="0" containsNumber="1" containsInteger="1" minValue="95" maxValue="190"/>
    </cacheField>
    <cacheField name="Unit Selling Price (EGP)" numFmtId="0">
      <sharedItems containsSemiMixedTypes="0" containsString="0" containsNumber="1" containsInteger="1" minValue="170" maxValue="300"/>
    </cacheField>
    <cacheField name="Profit" numFmtId="0">
      <sharedItems containsSemiMixedTypes="0" containsString="0" containsNumber="1" containsInteger="1" minValue="65" maxValue="120" count="7">
        <n v="120"/>
        <n v="115"/>
        <n v="110"/>
        <n v="80"/>
        <n v="75"/>
        <n v="70"/>
        <n v="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4000"/>
    <n v="2.8"/>
    <n v="420"/>
    <n v="5000"/>
    <n v="180"/>
    <n v="300"/>
    <x v="0"/>
  </r>
  <r>
    <x v="1"/>
    <x v="0"/>
    <x v="1"/>
    <n v="4200"/>
    <n v="2.5"/>
    <n v="400"/>
    <n v="5000"/>
    <n v="180"/>
    <n v="300"/>
    <x v="0"/>
  </r>
  <r>
    <x v="2"/>
    <x v="0"/>
    <x v="2"/>
    <n v="4300"/>
    <n v="3.1"/>
    <n v="460"/>
    <n v="5000"/>
    <n v="180"/>
    <n v="300"/>
    <x v="0"/>
  </r>
  <r>
    <x v="3"/>
    <x v="0"/>
    <x v="3"/>
    <n v="4700"/>
    <n v="3.8"/>
    <n v="480"/>
    <n v="5000"/>
    <n v="180"/>
    <n v="300"/>
    <x v="0"/>
  </r>
  <r>
    <x v="4"/>
    <x v="0"/>
    <x v="4"/>
    <n v="4900"/>
    <n v="3.4"/>
    <n v="520"/>
    <n v="5000"/>
    <n v="180"/>
    <n v="300"/>
    <x v="0"/>
  </r>
  <r>
    <x v="5"/>
    <x v="0"/>
    <x v="5"/>
    <n v="5400"/>
    <n v="4.2"/>
    <n v="560"/>
    <n v="5500"/>
    <n v="185"/>
    <n v="300"/>
    <x v="1"/>
  </r>
  <r>
    <x v="6"/>
    <x v="0"/>
    <x v="6"/>
    <n v="5800"/>
    <n v="4.8"/>
    <n v="610"/>
    <n v="5500"/>
    <n v="185"/>
    <n v="300"/>
    <x v="1"/>
  </r>
  <r>
    <x v="7"/>
    <x v="0"/>
    <x v="7"/>
    <n v="6200"/>
    <n v="4.0999999999999996"/>
    <n v="590"/>
    <n v="5500"/>
    <n v="185"/>
    <n v="300"/>
    <x v="1"/>
  </r>
  <r>
    <x v="8"/>
    <x v="0"/>
    <x v="8"/>
    <n v="5700"/>
    <n v="3.6"/>
    <n v="550"/>
    <n v="5500"/>
    <n v="185"/>
    <n v="300"/>
    <x v="1"/>
  </r>
  <r>
    <x v="9"/>
    <x v="0"/>
    <x v="9"/>
    <n v="5800"/>
    <n v="5.2"/>
    <n v="620"/>
    <n v="6000"/>
    <n v="190"/>
    <n v="300"/>
    <x v="2"/>
  </r>
  <r>
    <x v="10"/>
    <x v="0"/>
    <x v="10"/>
    <n v="6500"/>
    <n v="4.7"/>
    <n v="680"/>
    <n v="6000"/>
    <n v="190"/>
    <n v="300"/>
    <x v="2"/>
  </r>
  <r>
    <x v="11"/>
    <x v="0"/>
    <x v="11"/>
    <n v="7200"/>
    <n v="5.8"/>
    <n v="760"/>
    <n v="6000"/>
    <n v="190"/>
    <n v="300"/>
    <x v="2"/>
  </r>
  <r>
    <x v="0"/>
    <x v="1"/>
    <x v="12"/>
    <n v="6200"/>
    <n v="2.2000000000000002"/>
    <n v="360"/>
    <n v="7000"/>
    <n v="110"/>
    <n v="190"/>
    <x v="3"/>
  </r>
  <r>
    <x v="1"/>
    <x v="1"/>
    <x v="13"/>
    <n v="5900"/>
    <n v="2.4"/>
    <n v="348"/>
    <n v="7000"/>
    <n v="110"/>
    <n v="190"/>
    <x v="3"/>
  </r>
  <r>
    <x v="2"/>
    <x v="1"/>
    <x v="14"/>
    <n v="6200"/>
    <n v="2.6"/>
    <n v="390"/>
    <n v="7000"/>
    <n v="110"/>
    <n v="190"/>
    <x v="3"/>
  </r>
  <r>
    <x v="3"/>
    <x v="1"/>
    <x v="10"/>
    <n v="6600"/>
    <n v="3"/>
    <n v="408"/>
    <n v="7000"/>
    <n v="110"/>
    <n v="190"/>
    <x v="3"/>
  </r>
  <r>
    <x v="4"/>
    <x v="1"/>
    <x v="15"/>
    <n v="7000"/>
    <n v="2.8"/>
    <n v="432"/>
    <n v="7000"/>
    <n v="110"/>
    <n v="190"/>
    <x v="3"/>
  </r>
  <r>
    <x v="5"/>
    <x v="1"/>
    <x v="11"/>
    <n v="7400"/>
    <n v="3.2"/>
    <n v="456"/>
    <n v="7500"/>
    <n v="115"/>
    <n v="190"/>
    <x v="4"/>
  </r>
  <r>
    <x v="6"/>
    <x v="1"/>
    <x v="16"/>
    <n v="7900"/>
    <n v="3.6"/>
    <n v="492"/>
    <n v="7500"/>
    <n v="115"/>
    <n v="190"/>
    <x v="4"/>
  </r>
  <r>
    <x v="7"/>
    <x v="1"/>
    <x v="17"/>
    <n v="8300"/>
    <n v="3.3"/>
    <n v="480"/>
    <n v="7500"/>
    <n v="115"/>
    <n v="190"/>
    <x v="4"/>
  </r>
  <r>
    <x v="8"/>
    <x v="1"/>
    <x v="18"/>
    <n v="7800"/>
    <n v="2.9"/>
    <n v="450"/>
    <n v="7500"/>
    <n v="115"/>
    <n v="190"/>
    <x v="4"/>
  </r>
  <r>
    <x v="9"/>
    <x v="1"/>
    <x v="19"/>
    <n v="8000"/>
    <n v="4"/>
    <n v="504"/>
    <n v="8000"/>
    <n v="120"/>
    <n v="190"/>
    <x v="5"/>
  </r>
  <r>
    <x v="10"/>
    <x v="1"/>
    <x v="20"/>
    <n v="8800"/>
    <n v="3.8"/>
    <n v="546"/>
    <n v="8000"/>
    <n v="120"/>
    <n v="190"/>
    <x v="5"/>
  </r>
  <r>
    <x v="11"/>
    <x v="1"/>
    <x v="21"/>
    <n v="9700"/>
    <n v="4.5"/>
    <n v="612"/>
    <n v="8000"/>
    <n v="120"/>
    <n v="190"/>
    <x v="5"/>
  </r>
  <r>
    <x v="0"/>
    <x v="2"/>
    <x v="22"/>
    <n v="2700"/>
    <n v="3.5"/>
    <n v="300"/>
    <n v="3000"/>
    <n v="95"/>
    <n v="170"/>
    <x v="4"/>
  </r>
  <r>
    <x v="1"/>
    <x v="2"/>
    <x v="23"/>
    <n v="2400"/>
    <n v="3.2"/>
    <n v="276"/>
    <n v="3000"/>
    <n v="95"/>
    <n v="170"/>
    <x v="4"/>
  </r>
  <r>
    <x v="2"/>
    <x v="2"/>
    <x v="24"/>
    <n v="2800"/>
    <n v="3.8"/>
    <n v="360"/>
    <n v="3000"/>
    <n v="95"/>
    <n v="170"/>
    <x v="4"/>
  </r>
  <r>
    <x v="3"/>
    <x v="2"/>
    <x v="25"/>
    <n v="3200"/>
    <n v="4.4000000000000004"/>
    <n v="408"/>
    <n v="3500"/>
    <n v="95"/>
    <n v="170"/>
    <x v="4"/>
  </r>
  <r>
    <x v="4"/>
    <x v="2"/>
    <x v="26"/>
    <n v="3600"/>
    <n v="4.0999999999999996"/>
    <n v="468"/>
    <n v="3500"/>
    <n v="95"/>
    <n v="170"/>
    <x v="4"/>
  </r>
  <r>
    <x v="5"/>
    <x v="2"/>
    <x v="27"/>
    <n v="4200"/>
    <n v="4.8"/>
    <n v="540"/>
    <n v="4000"/>
    <n v="100"/>
    <n v="170"/>
    <x v="5"/>
  </r>
  <r>
    <x v="6"/>
    <x v="2"/>
    <x v="4"/>
    <n v="4800"/>
    <n v="5.5"/>
    <n v="624"/>
    <n v="4000"/>
    <n v="100"/>
    <n v="170"/>
    <x v="5"/>
  </r>
  <r>
    <x v="7"/>
    <x v="2"/>
    <x v="28"/>
    <n v="5400"/>
    <n v="4.9000000000000004"/>
    <n v="600"/>
    <n v="4000"/>
    <n v="100"/>
    <n v="170"/>
    <x v="5"/>
  </r>
  <r>
    <x v="8"/>
    <x v="2"/>
    <x v="0"/>
    <n v="4600"/>
    <n v="4.3"/>
    <n v="504"/>
    <n v="4000"/>
    <n v="100"/>
    <n v="170"/>
    <x v="5"/>
  </r>
  <r>
    <x v="9"/>
    <x v="2"/>
    <x v="5"/>
    <n v="5100"/>
    <n v="6"/>
    <n v="672"/>
    <n v="4500"/>
    <n v="105"/>
    <n v="170"/>
    <x v="6"/>
  </r>
  <r>
    <x v="10"/>
    <x v="2"/>
    <x v="14"/>
    <n v="6100"/>
    <n v="5.6"/>
    <n v="780"/>
    <n v="4500"/>
    <n v="105"/>
    <n v="170"/>
    <x v="6"/>
  </r>
  <r>
    <x v="11"/>
    <x v="2"/>
    <x v="29"/>
    <n v="7000"/>
    <n v="6.5"/>
    <n v="936"/>
    <n v="4500"/>
    <n v="105"/>
    <n v="17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660F5-BFE5-428B-8B7D-DFD85BB3B131}" name="PivotTable1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0">
  <location ref="H40:J53" firstHeaderRow="0" firstDataRow="1" firstDataCol="1"/>
  <pivotFields count="10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sd="0" x="1"/>
        <item sd="0" x="2"/>
        <item sd="0"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Monthly Sales (units)" fld="2" baseField="0" baseItem="0"/>
    <dataField name="Sum of Previous Company Forecast (units)" fld="3" baseField="0" baseItem="0"/>
  </dataFields>
  <chartFormats count="6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18BDE-51B6-47AE-BFE4-1F23085AB15F}" name="PivotTable1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0">
  <location ref="H4:I8" firstHeaderRow="1" firstDataRow="1" firstDataCol="1"/>
  <pivotFields count="10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sd="0" x="1"/>
        <item sd="0" x="2"/>
        <item sd="0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tual Monthly Sales (units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8DCF6-4FA8-45BF-9EA7-E8830141EEC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1:E75" firstHeaderRow="1" firstDataRow="2" firstDataCol="1"/>
  <pivotFields count="10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ctual Monthly Sales (units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92B91-6A37-4DE2-91F5-6F4B42EE9B19}" name="PivotTable1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7">
  <location ref="H12:I16" firstHeaderRow="1" firstDataRow="1" firstDataCol="1"/>
  <pivotFields count="10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sd="0" x="1"/>
        <item sd="0" x="2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5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499E9-DBD6-497D-8488-021C8D289CE0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6">
  <location ref="A3:E17" firstHeaderRow="1" firstDataRow="2" firstDataCol="1"/>
  <pivotFields count="10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>
      <items count="31">
        <item x="23"/>
        <item x="22"/>
        <item x="24"/>
        <item x="25"/>
        <item x="26"/>
        <item x="1"/>
        <item x="0"/>
        <item x="27"/>
        <item x="2"/>
        <item x="3"/>
        <item x="28"/>
        <item x="4"/>
        <item x="8"/>
        <item x="5"/>
        <item x="13"/>
        <item x="7"/>
        <item x="12"/>
        <item x="6"/>
        <item x="9"/>
        <item x="14"/>
        <item x="10"/>
        <item x="15"/>
        <item x="18"/>
        <item x="11"/>
        <item x="29"/>
        <item x="17"/>
        <item x="16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ctual Monthly Sales (units)" fld="2" baseField="0" baseItem="0"/>
  </dataFields>
  <chartFormats count="11">
    <chartFormat chart="1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F5F0-94D8-4DB5-8B07-5FA8863DDE3C}" name="PivotTable1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0">
  <location ref="H19:I23" firstHeaderRow="1" firstDataRow="1" firstDataCol="1"/>
  <pivotFields count="10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sd="0" x="1"/>
        <item sd="0" x="2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 Selling Price (EGP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BC3BD-CDBB-4315-861D-DB8524D846E2}" name="PivotTable10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0">
  <location ref="H26:I30" firstHeaderRow="1" firstDataRow="1" firstDataCol="1"/>
  <pivotFields count="10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sd="0" x="1"/>
        <item sd="0" x="2"/>
        <item sd="0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 Production Cost (EGP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90DD1-E6AB-4490-89E3-9AC3FB5702DD}" name="PivotTable9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0">
  <location ref="H33:I37" firstHeaderRow="1" firstDataRow="1" firstDataCol="1"/>
  <pivotFields count="10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sd="0" x="1"/>
        <item sd="0" x="2"/>
        <item sd="0"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ailable Production Capacity (units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F6C15B-4ABB-4037-A38B-BE53704D50E4}">
  <we:reference id="wa200008989" version="1.0.0.4" store="en-US" storeType="OMEX"/>
  <we:alternateReferences>
    <we:reference id="wa200008989" version="1.0.0.4" store="wa200008989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_xldudf_COREGPT</we:customFunctionIds>
        <we:customFunctionIds>_xldudf_COREGPT_TRANSLATE</we:customFunctionIds>
        <we:customFunctionIds>_xldudf_COREGPT_EXTRACT</we:customFunctionIds>
        <we:customFunctionIds>_xldudf_COREGPT_FORMAT</we:customFunctionIds>
        <we:customFunctionIds>_xldudf_COREGPT_SUMMARIZE</we:customFunctionIds>
        <we:customFunctionIds>_xldudf_COREGPT_CLASSIFY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A9F4-4625-4893-8C80-EEF9109D6160}">
  <dimension ref="A1:J37"/>
  <sheetViews>
    <sheetView topLeftCell="A8" workbookViewId="0">
      <selection activeCell="G10" sqref="G10"/>
    </sheetView>
  </sheetViews>
  <sheetFormatPr defaultRowHeight="14.5" x14ac:dyDescent="0.35"/>
  <cols>
    <col min="1" max="1" width="6.453125" bestFit="1" customWidth="1"/>
    <col min="2" max="2" width="16.1796875" bestFit="1" customWidth="1"/>
    <col min="3" max="3" width="24.1796875" bestFit="1" customWidth="1"/>
    <col min="4" max="4" width="30" bestFit="1" customWidth="1"/>
    <col min="5" max="5" width="13.6328125" bestFit="1" customWidth="1"/>
    <col min="6" max="6" width="12.08984375" bestFit="1" customWidth="1"/>
    <col min="7" max="7" width="31.6328125" bestFit="1" customWidth="1"/>
    <col min="8" max="8" width="23.1796875" bestFit="1" customWidth="1"/>
    <col min="9" max="9" width="19.6328125" bestFit="1" customWidth="1"/>
    <col min="10" max="10" width="5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</row>
    <row r="2" spans="1:10" x14ac:dyDescent="0.35">
      <c r="A2" t="s">
        <v>9</v>
      </c>
      <c r="B2" t="s">
        <v>10</v>
      </c>
      <c r="C2">
        <v>4200</v>
      </c>
      <c r="D2">
        <v>4000</v>
      </c>
      <c r="E2">
        <v>2.8</v>
      </c>
      <c r="F2">
        <v>420</v>
      </c>
      <c r="G2">
        <v>5000</v>
      </c>
      <c r="H2">
        <v>180</v>
      </c>
      <c r="I2">
        <v>300</v>
      </c>
      <c r="J2">
        <f>I2-H2</f>
        <v>120</v>
      </c>
    </row>
    <row r="3" spans="1:10" x14ac:dyDescent="0.35">
      <c r="A3" t="s">
        <v>11</v>
      </c>
      <c r="B3" t="s">
        <v>10</v>
      </c>
      <c r="C3">
        <v>4000</v>
      </c>
      <c r="D3">
        <v>4200</v>
      </c>
      <c r="E3">
        <v>2.5</v>
      </c>
      <c r="F3">
        <v>400</v>
      </c>
      <c r="G3">
        <v>5000</v>
      </c>
      <c r="H3">
        <v>180</v>
      </c>
      <c r="I3">
        <v>300</v>
      </c>
      <c r="J3">
        <f t="shared" ref="J3:J37" si="0">I3-H3</f>
        <v>120</v>
      </c>
    </row>
    <row r="4" spans="1:10" x14ac:dyDescent="0.35">
      <c r="A4" t="s">
        <v>12</v>
      </c>
      <c r="B4" t="s">
        <v>10</v>
      </c>
      <c r="C4">
        <v>4600</v>
      </c>
      <c r="D4">
        <v>4300</v>
      </c>
      <c r="E4">
        <v>3.1</v>
      </c>
      <c r="F4">
        <v>460</v>
      </c>
      <c r="G4">
        <v>5000</v>
      </c>
      <c r="H4">
        <v>180</v>
      </c>
      <c r="I4">
        <v>300</v>
      </c>
      <c r="J4">
        <f t="shared" si="0"/>
        <v>120</v>
      </c>
    </row>
    <row r="5" spans="1:10" x14ac:dyDescent="0.35">
      <c r="A5" t="s">
        <v>13</v>
      </c>
      <c r="B5" t="s">
        <v>10</v>
      </c>
      <c r="C5">
        <v>4800</v>
      </c>
      <c r="D5">
        <v>4700</v>
      </c>
      <c r="E5">
        <v>3.8</v>
      </c>
      <c r="F5">
        <v>480</v>
      </c>
      <c r="G5">
        <v>5000</v>
      </c>
      <c r="H5">
        <v>180</v>
      </c>
      <c r="I5">
        <v>300</v>
      </c>
      <c r="J5">
        <f t="shared" si="0"/>
        <v>120</v>
      </c>
    </row>
    <row r="6" spans="1:10" x14ac:dyDescent="0.35">
      <c r="A6" t="s">
        <v>14</v>
      </c>
      <c r="B6" t="s">
        <v>10</v>
      </c>
      <c r="C6">
        <v>5200</v>
      </c>
      <c r="D6">
        <v>4900</v>
      </c>
      <c r="E6">
        <v>3.4</v>
      </c>
      <c r="F6">
        <v>520</v>
      </c>
      <c r="G6">
        <v>5000</v>
      </c>
      <c r="H6">
        <v>180</v>
      </c>
      <c r="I6">
        <v>300</v>
      </c>
      <c r="J6">
        <f t="shared" si="0"/>
        <v>120</v>
      </c>
    </row>
    <row r="7" spans="1:10" x14ac:dyDescent="0.35">
      <c r="A7" t="s">
        <v>15</v>
      </c>
      <c r="B7" t="s">
        <v>10</v>
      </c>
      <c r="C7">
        <v>5600</v>
      </c>
      <c r="D7">
        <v>5400</v>
      </c>
      <c r="E7">
        <v>4.2</v>
      </c>
      <c r="F7">
        <v>560</v>
      </c>
      <c r="G7">
        <v>5500</v>
      </c>
      <c r="H7">
        <v>185</v>
      </c>
      <c r="I7">
        <v>300</v>
      </c>
      <c r="J7">
        <f t="shared" si="0"/>
        <v>115</v>
      </c>
    </row>
    <row r="8" spans="1:10" x14ac:dyDescent="0.35">
      <c r="A8" t="s">
        <v>16</v>
      </c>
      <c r="B8" t="s">
        <v>10</v>
      </c>
      <c r="C8">
        <v>6100</v>
      </c>
      <c r="D8">
        <v>5800</v>
      </c>
      <c r="E8">
        <v>4.8</v>
      </c>
      <c r="F8">
        <v>610</v>
      </c>
      <c r="G8">
        <v>5500</v>
      </c>
      <c r="H8">
        <v>185</v>
      </c>
      <c r="I8">
        <v>300</v>
      </c>
      <c r="J8">
        <f t="shared" si="0"/>
        <v>115</v>
      </c>
    </row>
    <row r="9" spans="1:10" x14ac:dyDescent="0.35">
      <c r="A9" t="s">
        <v>17</v>
      </c>
      <c r="B9" t="s">
        <v>10</v>
      </c>
      <c r="C9">
        <v>5900</v>
      </c>
      <c r="D9">
        <v>6200</v>
      </c>
      <c r="E9">
        <v>4.0999999999999996</v>
      </c>
      <c r="F9">
        <v>590</v>
      </c>
      <c r="G9">
        <v>5500</v>
      </c>
      <c r="H9">
        <v>185</v>
      </c>
      <c r="I9">
        <v>300</v>
      </c>
      <c r="J9">
        <f t="shared" si="0"/>
        <v>115</v>
      </c>
    </row>
    <row r="10" spans="1:10" x14ac:dyDescent="0.35">
      <c r="A10" t="s">
        <v>18</v>
      </c>
      <c r="B10" t="s">
        <v>10</v>
      </c>
      <c r="C10">
        <v>5500</v>
      </c>
      <c r="D10">
        <v>5700</v>
      </c>
      <c r="E10">
        <v>3.6</v>
      </c>
      <c r="F10">
        <v>550</v>
      </c>
      <c r="G10">
        <v>5500</v>
      </c>
      <c r="H10">
        <v>185</v>
      </c>
      <c r="I10">
        <v>300</v>
      </c>
      <c r="J10">
        <f t="shared" si="0"/>
        <v>115</v>
      </c>
    </row>
    <row r="11" spans="1:10" x14ac:dyDescent="0.35">
      <c r="A11" t="s">
        <v>19</v>
      </c>
      <c r="B11" t="s">
        <v>10</v>
      </c>
      <c r="C11">
        <v>6200</v>
      </c>
      <c r="D11">
        <v>5800</v>
      </c>
      <c r="E11">
        <v>5.2</v>
      </c>
      <c r="F11">
        <v>620</v>
      </c>
      <c r="G11">
        <v>6000</v>
      </c>
      <c r="H11">
        <v>190</v>
      </c>
      <c r="I11">
        <v>300</v>
      </c>
      <c r="J11">
        <f t="shared" si="0"/>
        <v>110</v>
      </c>
    </row>
    <row r="12" spans="1:10" x14ac:dyDescent="0.35">
      <c r="A12" t="s">
        <v>20</v>
      </c>
      <c r="B12" t="s">
        <v>10</v>
      </c>
      <c r="C12">
        <v>6800</v>
      </c>
      <c r="D12">
        <v>6500</v>
      </c>
      <c r="E12">
        <v>4.7</v>
      </c>
      <c r="F12">
        <v>680</v>
      </c>
      <c r="G12">
        <v>6000</v>
      </c>
      <c r="H12">
        <v>190</v>
      </c>
      <c r="I12">
        <v>300</v>
      </c>
      <c r="J12">
        <f t="shared" si="0"/>
        <v>110</v>
      </c>
    </row>
    <row r="13" spans="1:10" x14ac:dyDescent="0.35">
      <c r="A13" t="s">
        <v>21</v>
      </c>
      <c r="B13" t="s">
        <v>10</v>
      </c>
      <c r="C13">
        <v>7600</v>
      </c>
      <c r="D13">
        <v>7200</v>
      </c>
      <c r="E13">
        <v>5.8</v>
      </c>
      <c r="F13">
        <v>760</v>
      </c>
      <c r="G13">
        <v>6000</v>
      </c>
      <c r="H13">
        <v>190</v>
      </c>
      <c r="I13">
        <v>300</v>
      </c>
      <c r="J13">
        <f t="shared" si="0"/>
        <v>110</v>
      </c>
    </row>
    <row r="14" spans="1:10" x14ac:dyDescent="0.35">
      <c r="A14" t="s">
        <v>9</v>
      </c>
      <c r="B14" t="s">
        <v>22</v>
      </c>
      <c r="C14">
        <v>6000</v>
      </c>
      <c r="D14">
        <v>6200</v>
      </c>
      <c r="E14">
        <v>2.2000000000000002</v>
      </c>
      <c r="F14">
        <v>360</v>
      </c>
      <c r="G14">
        <v>7000</v>
      </c>
      <c r="H14">
        <v>110</v>
      </c>
      <c r="I14">
        <v>190</v>
      </c>
      <c r="J14">
        <f t="shared" si="0"/>
        <v>80</v>
      </c>
    </row>
    <row r="15" spans="1:10" x14ac:dyDescent="0.35">
      <c r="A15" t="s">
        <v>11</v>
      </c>
      <c r="B15" t="s">
        <v>22</v>
      </c>
      <c r="C15">
        <v>5800</v>
      </c>
      <c r="D15">
        <v>5900</v>
      </c>
      <c r="E15">
        <v>2.4</v>
      </c>
      <c r="F15">
        <v>348</v>
      </c>
      <c r="G15">
        <v>7000</v>
      </c>
      <c r="H15">
        <v>110</v>
      </c>
      <c r="I15">
        <v>190</v>
      </c>
      <c r="J15">
        <f t="shared" si="0"/>
        <v>80</v>
      </c>
    </row>
    <row r="16" spans="1:10" x14ac:dyDescent="0.35">
      <c r="A16" t="s">
        <v>12</v>
      </c>
      <c r="B16" t="s">
        <v>22</v>
      </c>
      <c r="C16">
        <v>6500</v>
      </c>
      <c r="D16">
        <v>6200</v>
      </c>
      <c r="E16">
        <v>2.6</v>
      </c>
      <c r="F16">
        <v>390</v>
      </c>
      <c r="G16">
        <v>7000</v>
      </c>
      <c r="H16">
        <v>110</v>
      </c>
      <c r="I16">
        <v>190</v>
      </c>
      <c r="J16">
        <f t="shared" si="0"/>
        <v>80</v>
      </c>
    </row>
    <row r="17" spans="1:10" x14ac:dyDescent="0.35">
      <c r="A17" t="s">
        <v>13</v>
      </c>
      <c r="B17" t="s">
        <v>22</v>
      </c>
      <c r="C17">
        <v>6800</v>
      </c>
      <c r="D17">
        <v>6600</v>
      </c>
      <c r="E17">
        <v>3</v>
      </c>
      <c r="F17">
        <v>408</v>
      </c>
      <c r="G17">
        <v>7000</v>
      </c>
      <c r="H17">
        <v>110</v>
      </c>
      <c r="I17">
        <v>190</v>
      </c>
      <c r="J17">
        <f t="shared" si="0"/>
        <v>80</v>
      </c>
    </row>
    <row r="18" spans="1:10" x14ac:dyDescent="0.35">
      <c r="A18" t="s">
        <v>14</v>
      </c>
      <c r="B18" t="s">
        <v>22</v>
      </c>
      <c r="C18">
        <v>7200</v>
      </c>
      <c r="D18">
        <v>7000</v>
      </c>
      <c r="E18">
        <v>2.8</v>
      </c>
      <c r="F18">
        <v>432</v>
      </c>
      <c r="G18">
        <v>7000</v>
      </c>
      <c r="H18">
        <v>110</v>
      </c>
      <c r="I18">
        <v>190</v>
      </c>
      <c r="J18">
        <f t="shared" si="0"/>
        <v>80</v>
      </c>
    </row>
    <row r="19" spans="1:10" x14ac:dyDescent="0.35">
      <c r="A19" t="s">
        <v>15</v>
      </c>
      <c r="B19" t="s">
        <v>22</v>
      </c>
      <c r="C19">
        <v>7600</v>
      </c>
      <c r="D19">
        <v>7400</v>
      </c>
      <c r="E19">
        <v>3.2</v>
      </c>
      <c r="F19">
        <v>456</v>
      </c>
      <c r="G19">
        <v>7500</v>
      </c>
      <c r="H19">
        <v>115</v>
      </c>
      <c r="I19">
        <v>190</v>
      </c>
      <c r="J19">
        <f t="shared" si="0"/>
        <v>75</v>
      </c>
    </row>
    <row r="20" spans="1:10" x14ac:dyDescent="0.35">
      <c r="A20" t="s">
        <v>16</v>
      </c>
      <c r="B20" t="s">
        <v>22</v>
      </c>
      <c r="C20">
        <v>8200</v>
      </c>
      <c r="D20">
        <v>7900</v>
      </c>
      <c r="E20">
        <v>3.6</v>
      </c>
      <c r="F20">
        <v>492</v>
      </c>
      <c r="G20">
        <v>7500</v>
      </c>
      <c r="H20">
        <v>115</v>
      </c>
      <c r="I20">
        <v>190</v>
      </c>
      <c r="J20">
        <f t="shared" si="0"/>
        <v>75</v>
      </c>
    </row>
    <row r="21" spans="1:10" x14ac:dyDescent="0.35">
      <c r="A21" t="s">
        <v>17</v>
      </c>
      <c r="B21" t="s">
        <v>22</v>
      </c>
      <c r="C21">
        <v>8000</v>
      </c>
      <c r="D21">
        <v>8300</v>
      </c>
      <c r="E21">
        <v>3.3</v>
      </c>
      <c r="F21">
        <v>480</v>
      </c>
      <c r="G21">
        <v>7500</v>
      </c>
      <c r="H21">
        <v>115</v>
      </c>
      <c r="I21">
        <v>190</v>
      </c>
      <c r="J21">
        <f t="shared" si="0"/>
        <v>75</v>
      </c>
    </row>
    <row r="22" spans="1:10" x14ac:dyDescent="0.35">
      <c r="A22" t="s">
        <v>18</v>
      </c>
      <c r="B22" t="s">
        <v>22</v>
      </c>
      <c r="C22">
        <v>7500</v>
      </c>
      <c r="D22">
        <v>7800</v>
      </c>
      <c r="E22">
        <v>2.9</v>
      </c>
      <c r="F22">
        <v>450</v>
      </c>
      <c r="G22">
        <v>7500</v>
      </c>
      <c r="H22">
        <v>115</v>
      </c>
      <c r="I22">
        <v>190</v>
      </c>
      <c r="J22">
        <f t="shared" si="0"/>
        <v>75</v>
      </c>
    </row>
    <row r="23" spans="1:10" x14ac:dyDescent="0.35">
      <c r="A23" t="s">
        <v>19</v>
      </c>
      <c r="B23" t="s">
        <v>22</v>
      </c>
      <c r="C23">
        <v>8400</v>
      </c>
      <c r="D23">
        <v>8000</v>
      </c>
      <c r="E23">
        <v>4</v>
      </c>
      <c r="F23">
        <v>504</v>
      </c>
      <c r="G23">
        <v>8000</v>
      </c>
      <c r="H23">
        <v>120</v>
      </c>
      <c r="I23">
        <v>190</v>
      </c>
      <c r="J23">
        <f t="shared" si="0"/>
        <v>70</v>
      </c>
    </row>
    <row r="24" spans="1:10" x14ac:dyDescent="0.35">
      <c r="A24" t="s">
        <v>20</v>
      </c>
      <c r="B24" t="s">
        <v>22</v>
      </c>
      <c r="C24">
        <v>9100</v>
      </c>
      <c r="D24">
        <v>8800</v>
      </c>
      <c r="E24">
        <v>3.8</v>
      </c>
      <c r="F24">
        <v>546</v>
      </c>
      <c r="G24">
        <v>8000</v>
      </c>
      <c r="H24">
        <v>120</v>
      </c>
      <c r="I24">
        <v>190</v>
      </c>
      <c r="J24">
        <f t="shared" si="0"/>
        <v>70</v>
      </c>
    </row>
    <row r="25" spans="1:10" x14ac:dyDescent="0.35">
      <c r="A25" t="s">
        <v>21</v>
      </c>
      <c r="B25" t="s">
        <v>22</v>
      </c>
      <c r="C25">
        <v>10200</v>
      </c>
      <c r="D25">
        <v>9700</v>
      </c>
      <c r="E25">
        <v>4.5</v>
      </c>
      <c r="F25">
        <v>612</v>
      </c>
      <c r="G25">
        <v>8000</v>
      </c>
      <c r="H25">
        <v>120</v>
      </c>
      <c r="I25">
        <v>190</v>
      </c>
      <c r="J25">
        <f t="shared" si="0"/>
        <v>70</v>
      </c>
    </row>
    <row r="26" spans="1:10" x14ac:dyDescent="0.35">
      <c r="A26" t="s">
        <v>9</v>
      </c>
      <c r="B26" t="s">
        <v>23</v>
      </c>
      <c r="C26">
        <v>2500</v>
      </c>
      <c r="D26">
        <v>2700</v>
      </c>
      <c r="E26">
        <v>3.5</v>
      </c>
      <c r="F26">
        <v>300</v>
      </c>
      <c r="G26">
        <v>3000</v>
      </c>
      <c r="H26">
        <v>95</v>
      </c>
      <c r="I26">
        <v>170</v>
      </c>
      <c r="J26">
        <f t="shared" si="0"/>
        <v>75</v>
      </c>
    </row>
    <row r="27" spans="1:10" x14ac:dyDescent="0.35">
      <c r="A27" t="s">
        <v>11</v>
      </c>
      <c r="B27" t="s">
        <v>23</v>
      </c>
      <c r="C27">
        <v>2300</v>
      </c>
      <c r="D27">
        <v>2400</v>
      </c>
      <c r="E27">
        <v>3.2</v>
      </c>
      <c r="F27">
        <v>276</v>
      </c>
      <c r="G27">
        <v>3000</v>
      </c>
      <c r="H27">
        <v>95</v>
      </c>
      <c r="I27">
        <v>170</v>
      </c>
      <c r="J27">
        <f t="shared" si="0"/>
        <v>75</v>
      </c>
    </row>
    <row r="28" spans="1:10" x14ac:dyDescent="0.35">
      <c r="A28" t="s">
        <v>12</v>
      </c>
      <c r="B28" t="s">
        <v>23</v>
      </c>
      <c r="C28">
        <v>3000</v>
      </c>
      <c r="D28">
        <v>2800</v>
      </c>
      <c r="E28">
        <v>3.8</v>
      </c>
      <c r="F28">
        <v>360</v>
      </c>
      <c r="G28">
        <v>3000</v>
      </c>
      <c r="H28">
        <v>95</v>
      </c>
      <c r="I28">
        <v>170</v>
      </c>
      <c r="J28">
        <f t="shared" si="0"/>
        <v>75</v>
      </c>
    </row>
    <row r="29" spans="1:10" x14ac:dyDescent="0.35">
      <c r="A29" t="s">
        <v>13</v>
      </c>
      <c r="B29" t="s">
        <v>23</v>
      </c>
      <c r="C29">
        <v>3400</v>
      </c>
      <c r="D29">
        <v>3200</v>
      </c>
      <c r="E29">
        <v>4.4000000000000004</v>
      </c>
      <c r="F29">
        <v>408</v>
      </c>
      <c r="G29">
        <v>3500</v>
      </c>
      <c r="H29">
        <v>95</v>
      </c>
      <c r="I29">
        <v>170</v>
      </c>
      <c r="J29">
        <f t="shared" si="0"/>
        <v>75</v>
      </c>
    </row>
    <row r="30" spans="1:10" x14ac:dyDescent="0.35">
      <c r="A30" t="s">
        <v>14</v>
      </c>
      <c r="B30" t="s">
        <v>23</v>
      </c>
      <c r="C30">
        <v>3900</v>
      </c>
      <c r="D30">
        <v>3600</v>
      </c>
      <c r="E30">
        <v>4.0999999999999996</v>
      </c>
      <c r="F30">
        <v>468</v>
      </c>
      <c r="G30">
        <v>3500</v>
      </c>
      <c r="H30">
        <v>95</v>
      </c>
      <c r="I30">
        <v>170</v>
      </c>
      <c r="J30">
        <f t="shared" si="0"/>
        <v>75</v>
      </c>
    </row>
    <row r="31" spans="1:10" x14ac:dyDescent="0.35">
      <c r="A31" t="s">
        <v>15</v>
      </c>
      <c r="B31" t="s">
        <v>23</v>
      </c>
      <c r="C31">
        <v>4500</v>
      </c>
      <c r="D31">
        <v>4200</v>
      </c>
      <c r="E31">
        <v>4.8</v>
      </c>
      <c r="F31">
        <v>540</v>
      </c>
      <c r="G31">
        <v>4000</v>
      </c>
      <c r="H31">
        <v>100</v>
      </c>
      <c r="I31">
        <v>170</v>
      </c>
      <c r="J31">
        <f t="shared" si="0"/>
        <v>70</v>
      </c>
    </row>
    <row r="32" spans="1:10" x14ac:dyDescent="0.35">
      <c r="A32" t="s">
        <v>16</v>
      </c>
      <c r="B32" t="s">
        <v>23</v>
      </c>
      <c r="C32">
        <v>5200</v>
      </c>
      <c r="D32">
        <v>4800</v>
      </c>
      <c r="E32">
        <v>5.5</v>
      </c>
      <c r="F32">
        <v>624</v>
      </c>
      <c r="G32">
        <v>4000</v>
      </c>
      <c r="H32">
        <v>100</v>
      </c>
      <c r="I32">
        <v>170</v>
      </c>
      <c r="J32">
        <f t="shared" si="0"/>
        <v>70</v>
      </c>
    </row>
    <row r="33" spans="1:10" x14ac:dyDescent="0.35">
      <c r="A33" t="s">
        <v>17</v>
      </c>
      <c r="B33" t="s">
        <v>23</v>
      </c>
      <c r="C33">
        <v>5000</v>
      </c>
      <c r="D33">
        <v>5400</v>
      </c>
      <c r="E33">
        <v>4.9000000000000004</v>
      </c>
      <c r="F33">
        <v>600</v>
      </c>
      <c r="G33">
        <v>4000</v>
      </c>
      <c r="H33">
        <v>100</v>
      </c>
      <c r="I33">
        <v>170</v>
      </c>
      <c r="J33">
        <f t="shared" si="0"/>
        <v>70</v>
      </c>
    </row>
    <row r="34" spans="1:10" x14ac:dyDescent="0.35">
      <c r="A34" t="s">
        <v>18</v>
      </c>
      <c r="B34" t="s">
        <v>23</v>
      </c>
      <c r="C34">
        <v>4200</v>
      </c>
      <c r="D34">
        <v>4600</v>
      </c>
      <c r="E34">
        <v>4.3</v>
      </c>
      <c r="F34">
        <v>504</v>
      </c>
      <c r="G34">
        <v>4000</v>
      </c>
      <c r="H34">
        <v>100</v>
      </c>
      <c r="I34">
        <v>170</v>
      </c>
      <c r="J34">
        <f t="shared" si="0"/>
        <v>70</v>
      </c>
    </row>
    <row r="35" spans="1:10" x14ac:dyDescent="0.35">
      <c r="A35" t="s">
        <v>19</v>
      </c>
      <c r="B35" t="s">
        <v>23</v>
      </c>
      <c r="C35">
        <v>5600</v>
      </c>
      <c r="D35">
        <v>5100</v>
      </c>
      <c r="E35">
        <v>6</v>
      </c>
      <c r="F35">
        <v>672</v>
      </c>
      <c r="G35">
        <v>4500</v>
      </c>
      <c r="H35">
        <v>105</v>
      </c>
      <c r="I35">
        <v>170</v>
      </c>
      <c r="J35">
        <f t="shared" si="0"/>
        <v>65</v>
      </c>
    </row>
    <row r="36" spans="1:10" x14ac:dyDescent="0.35">
      <c r="A36" t="s">
        <v>20</v>
      </c>
      <c r="B36" t="s">
        <v>23</v>
      </c>
      <c r="C36">
        <v>6500</v>
      </c>
      <c r="D36">
        <v>6100</v>
      </c>
      <c r="E36">
        <v>5.6</v>
      </c>
      <c r="F36">
        <v>780</v>
      </c>
      <c r="G36">
        <v>4500</v>
      </c>
      <c r="H36">
        <v>105</v>
      </c>
      <c r="I36">
        <v>170</v>
      </c>
      <c r="J36">
        <f t="shared" si="0"/>
        <v>65</v>
      </c>
    </row>
    <row r="37" spans="1:10" x14ac:dyDescent="0.35">
      <c r="A37" t="s">
        <v>21</v>
      </c>
      <c r="B37" t="s">
        <v>23</v>
      </c>
      <c r="C37">
        <v>7800</v>
      </c>
      <c r="D37">
        <v>7000</v>
      </c>
      <c r="E37">
        <v>6.5</v>
      </c>
      <c r="F37">
        <v>936</v>
      </c>
      <c r="G37">
        <v>4500</v>
      </c>
      <c r="H37">
        <v>105</v>
      </c>
      <c r="I37">
        <v>170</v>
      </c>
      <c r="J37">
        <f t="shared" si="0"/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DA63-7655-4404-8308-81D92D00F7EC}">
  <dimension ref="A3:J75"/>
  <sheetViews>
    <sheetView topLeftCell="C4" zoomScale="85" zoomScaleNormal="85" workbookViewId="0">
      <selection activeCell="I42" sqref="I42"/>
    </sheetView>
  </sheetViews>
  <sheetFormatPr defaultRowHeight="14.5" x14ac:dyDescent="0.35"/>
  <cols>
    <col min="1" max="1" width="31.6328125" bestFit="1" customWidth="1"/>
    <col min="2" max="2" width="16.54296875" bestFit="1" customWidth="1"/>
    <col min="3" max="3" width="20.6328125" bestFit="1" customWidth="1"/>
    <col min="4" max="4" width="12.36328125" bestFit="1" customWidth="1"/>
    <col min="5" max="5" width="10.81640625" bestFit="1" customWidth="1"/>
    <col min="6" max="6" width="38.453125" customWidth="1"/>
    <col min="8" max="8" width="31.6328125" bestFit="1" customWidth="1"/>
    <col min="9" max="9" width="39" bestFit="1" customWidth="1"/>
    <col min="10" max="10" width="37.08984375" bestFit="1" customWidth="1"/>
  </cols>
  <sheetData>
    <row r="3" spans="1:9" x14ac:dyDescent="0.35">
      <c r="A3" s="4" t="s">
        <v>27</v>
      </c>
      <c r="B3" s="4" t="s">
        <v>28</v>
      </c>
    </row>
    <row r="4" spans="1:9" x14ac:dyDescent="0.35">
      <c r="A4" s="4" t="s">
        <v>25</v>
      </c>
      <c r="B4" t="s">
        <v>22</v>
      </c>
      <c r="C4" t="s">
        <v>23</v>
      </c>
      <c r="D4" t="s">
        <v>10</v>
      </c>
      <c r="E4" t="s">
        <v>26</v>
      </c>
      <c r="H4" s="4" t="s">
        <v>25</v>
      </c>
      <c r="I4" t="s">
        <v>27</v>
      </c>
    </row>
    <row r="5" spans="1:9" x14ac:dyDescent="0.35">
      <c r="A5" s="5" t="s">
        <v>9</v>
      </c>
      <c r="B5">
        <v>6000</v>
      </c>
      <c r="C5">
        <v>2500</v>
      </c>
      <c r="D5">
        <v>4200</v>
      </c>
      <c r="E5">
        <v>12700</v>
      </c>
      <c r="H5" s="5" t="s">
        <v>22</v>
      </c>
      <c r="I5">
        <v>91300</v>
      </c>
    </row>
    <row r="6" spans="1:9" x14ac:dyDescent="0.35">
      <c r="A6" s="5" t="s">
        <v>11</v>
      </c>
      <c r="B6">
        <v>5800</v>
      </c>
      <c r="C6">
        <v>2300</v>
      </c>
      <c r="D6">
        <v>4000</v>
      </c>
      <c r="E6">
        <v>12100</v>
      </c>
      <c r="H6" s="5" t="s">
        <v>23</v>
      </c>
      <c r="I6">
        <v>53900</v>
      </c>
    </row>
    <row r="7" spans="1:9" x14ac:dyDescent="0.35">
      <c r="A7" s="5" t="s">
        <v>12</v>
      </c>
      <c r="B7">
        <v>6500</v>
      </c>
      <c r="C7">
        <v>3000</v>
      </c>
      <c r="D7">
        <v>4600</v>
      </c>
      <c r="E7">
        <v>14100</v>
      </c>
      <c r="H7" s="5" t="s">
        <v>10</v>
      </c>
      <c r="I7">
        <v>66500</v>
      </c>
    </row>
    <row r="8" spans="1:9" x14ac:dyDescent="0.35">
      <c r="A8" s="5" t="s">
        <v>13</v>
      </c>
      <c r="B8">
        <v>6800</v>
      </c>
      <c r="C8">
        <v>3400</v>
      </c>
      <c r="D8">
        <v>4800</v>
      </c>
      <c r="E8">
        <v>15000</v>
      </c>
      <c r="H8" s="5" t="s">
        <v>26</v>
      </c>
      <c r="I8">
        <v>211700</v>
      </c>
    </row>
    <row r="9" spans="1:9" x14ac:dyDescent="0.35">
      <c r="A9" s="5" t="s">
        <v>14</v>
      </c>
      <c r="B9">
        <v>7200</v>
      </c>
      <c r="C9">
        <v>3900</v>
      </c>
      <c r="D9">
        <v>5200</v>
      </c>
      <c r="E9">
        <v>16300</v>
      </c>
    </row>
    <row r="10" spans="1:9" x14ac:dyDescent="0.35">
      <c r="A10" s="5" t="s">
        <v>15</v>
      </c>
      <c r="B10">
        <v>7600</v>
      </c>
      <c r="C10">
        <v>4500</v>
      </c>
      <c r="D10">
        <v>5600</v>
      </c>
      <c r="E10">
        <v>17700</v>
      </c>
    </row>
    <row r="11" spans="1:9" x14ac:dyDescent="0.35">
      <c r="A11" s="5" t="s">
        <v>16</v>
      </c>
      <c r="B11">
        <v>8200</v>
      </c>
      <c r="C11">
        <v>5200</v>
      </c>
      <c r="D11">
        <v>6100</v>
      </c>
      <c r="E11">
        <v>19500</v>
      </c>
    </row>
    <row r="12" spans="1:9" x14ac:dyDescent="0.35">
      <c r="A12" s="5" t="s">
        <v>17</v>
      </c>
      <c r="B12">
        <v>8000</v>
      </c>
      <c r="C12">
        <v>5000</v>
      </c>
      <c r="D12">
        <v>5900</v>
      </c>
      <c r="E12">
        <v>18900</v>
      </c>
      <c r="H12" s="4" t="s">
        <v>25</v>
      </c>
      <c r="I12" t="s">
        <v>29</v>
      </c>
    </row>
    <row r="13" spans="1:9" x14ac:dyDescent="0.35">
      <c r="A13" s="5" t="s">
        <v>18</v>
      </c>
      <c r="B13">
        <v>7500</v>
      </c>
      <c r="C13">
        <v>4200</v>
      </c>
      <c r="D13">
        <v>5500</v>
      </c>
      <c r="E13">
        <v>17200</v>
      </c>
      <c r="H13" s="5" t="s">
        <v>22</v>
      </c>
      <c r="I13">
        <v>910</v>
      </c>
    </row>
    <row r="14" spans="1:9" x14ac:dyDescent="0.35">
      <c r="A14" s="5" t="s">
        <v>19</v>
      </c>
      <c r="B14">
        <v>8400</v>
      </c>
      <c r="C14">
        <v>5600</v>
      </c>
      <c r="D14">
        <v>6200</v>
      </c>
      <c r="E14">
        <v>20200</v>
      </c>
      <c r="H14" s="5" t="s">
        <v>23</v>
      </c>
      <c r="I14">
        <v>850</v>
      </c>
    </row>
    <row r="15" spans="1:9" x14ac:dyDescent="0.35">
      <c r="A15" s="5" t="s">
        <v>20</v>
      </c>
      <c r="B15">
        <v>9100</v>
      </c>
      <c r="C15">
        <v>6500</v>
      </c>
      <c r="D15">
        <v>6800</v>
      </c>
      <c r="E15">
        <v>22400</v>
      </c>
      <c r="H15" s="5" t="s">
        <v>10</v>
      </c>
      <c r="I15">
        <v>1390</v>
      </c>
    </row>
    <row r="16" spans="1:9" x14ac:dyDescent="0.35">
      <c r="A16" s="5" t="s">
        <v>21</v>
      </c>
      <c r="B16">
        <v>10200</v>
      </c>
      <c r="C16">
        <v>7800</v>
      </c>
      <c r="D16">
        <v>7600</v>
      </c>
      <c r="E16">
        <v>25600</v>
      </c>
      <c r="H16" s="5" t="s">
        <v>26</v>
      </c>
      <c r="I16">
        <v>3150</v>
      </c>
    </row>
    <row r="17" spans="1:9" x14ac:dyDescent="0.35">
      <c r="A17" s="5" t="s">
        <v>26</v>
      </c>
      <c r="B17">
        <v>91300</v>
      </c>
      <c r="C17">
        <v>53900</v>
      </c>
      <c r="D17">
        <v>66500</v>
      </c>
      <c r="E17">
        <v>211700</v>
      </c>
    </row>
    <row r="19" spans="1:9" x14ac:dyDescent="0.35">
      <c r="H19" s="4" t="s">
        <v>25</v>
      </c>
      <c r="I19" t="s">
        <v>30</v>
      </c>
    </row>
    <row r="20" spans="1:9" x14ac:dyDescent="0.35">
      <c r="H20" s="5" t="s">
        <v>22</v>
      </c>
      <c r="I20">
        <v>2280</v>
      </c>
    </row>
    <row r="21" spans="1:9" x14ac:dyDescent="0.35">
      <c r="H21" s="5" t="s">
        <v>23</v>
      </c>
      <c r="I21">
        <v>2040</v>
      </c>
    </row>
    <row r="22" spans="1:9" x14ac:dyDescent="0.35">
      <c r="H22" s="5" t="s">
        <v>10</v>
      </c>
      <c r="I22">
        <v>3600</v>
      </c>
    </row>
    <row r="23" spans="1:9" x14ac:dyDescent="0.35">
      <c r="H23" s="5" t="s">
        <v>26</v>
      </c>
      <c r="I23">
        <v>7920</v>
      </c>
    </row>
    <row r="26" spans="1:9" x14ac:dyDescent="0.35">
      <c r="H26" s="4" t="s">
        <v>25</v>
      </c>
      <c r="I26" t="s">
        <v>31</v>
      </c>
    </row>
    <row r="27" spans="1:9" x14ac:dyDescent="0.35">
      <c r="H27" s="5" t="s">
        <v>22</v>
      </c>
      <c r="I27">
        <v>1370</v>
      </c>
    </row>
    <row r="28" spans="1:9" x14ac:dyDescent="0.35">
      <c r="H28" s="5" t="s">
        <v>23</v>
      </c>
      <c r="I28">
        <v>1190</v>
      </c>
    </row>
    <row r="29" spans="1:9" x14ac:dyDescent="0.35">
      <c r="H29" s="5" t="s">
        <v>10</v>
      </c>
      <c r="I29">
        <v>2210</v>
      </c>
    </row>
    <row r="30" spans="1:9" x14ac:dyDescent="0.35">
      <c r="H30" s="5" t="s">
        <v>26</v>
      </c>
      <c r="I30">
        <v>4770</v>
      </c>
    </row>
    <row r="33" spans="8:10" x14ac:dyDescent="0.35">
      <c r="H33" s="4" t="s">
        <v>25</v>
      </c>
      <c r="I33" t="s">
        <v>32</v>
      </c>
    </row>
    <row r="34" spans="8:10" x14ac:dyDescent="0.35">
      <c r="H34" s="5" t="s">
        <v>22</v>
      </c>
      <c r="I34">
        <v>89000</v>
      </c>
    </row>
    <row r="35" spans="8:10" x14ac:dyDescent="0.35">
      <c r="H35" s="5" t="s">
        <v>23</v>
      </c>
      <c r="I35">
        <v>45500</v>
      </c>
    </row>
    <row r="36" spans="8:10" x14ac:dyDescent="0.35">
      <c r="H36" s="5" t="s">
        <v>10</v>
      </c>
      <c r="I36">
        <v>65000</v>
      </c>
    </row>
    <row r="37" spans="8:10" x14ac:dyDescent="0.35">
      <c r="H37" s="5" t="s">
        <v>26</v>
      </c>
      <c r="I37">
        <v>199500</v>
      </c>
    </row>
    <row r="40" spans="8:10" x14ac:dyDescent="0.35">
      <c r="H40" s="4" t="s">
        <v>25</v>
      </c>
      <c r="I40" t="s">
        <v>27</v>
      </c>
      <c r="J40" t="s">
        <v>33</v>
      </c>
    </row>
    <row r="41" spans="8:10" x14ac:dyDescent="0.35">
      <c r="H41" s="5" t="s">
        <v>9</v>
      </c>
      <c r="I41">
        <v>12700</v>
      </c>
      <c r="J41">
        <v>12900</v>
      </c>
    </row>
    <row r="42" spans="8:10" x14ac:dyDescent="0.35">
      <c r="H42" s="5" t="s">
        <v>11</v>
      </c>
      <c r="I42">
        <v>12100</v>
      </c>
      <c r="J42">
        <v>12500</v>
      </c>
    </row>
    <row r="43" spans="8:10" x14ac:dyDescent="0.35">
      <c r="H43" s="5" t="s">
        <v>12</v>
      </c>
      <c r="I43">
        <v>14100</v>
      </c>
      <c r="J43">
        <v>13300</v>
      </c>
    </row>
    <row r="44" spans="8:10" x14ac:dyDescent="0.35">
      <c r="H44" s="5" t="s">
        <v>13</v>
      </c>
      <c r="I44">
        <v>15000</v>
      </c>
      <c r="J44">
        <v>14500</v>
      </c>
    </row>
    <row r="45" spans="8:10" x14ac:dyDescent="0.35">
      <c r="H45" s="5" t="s">
        <v>14</v>
      </c>
      <c r="I45">
        <v>16300</v>
      </c>
      <c r="J45">
        <v>15500</v>
      </c>
    </row>
    <row r="46" spans="8:10" x14ac:dyDescent="0.35">
      <c r="H46" s="5" t="s">
        <v>15</v>
      </c>
      <c r="I46">
        <v>17700</v>
      </c>
      <c r="J46">
        <v>17000</v>
      </c>
    </row>
    <row r="47" spans="8:10" x14ac:dyDescent="0.35">
      <c r="H47" s="5" t="s">
        <v>16</v>
      </c>
      <c r="I47">
        <v>19500</v>
      </c>
      <c r="J47">
        <v>18500</v>
      </c>
    </row>
    <row r="48" spans="8:10" x14ac:dyDescent="0.35">
      <c r="H48" s="5" t="s">
        <v>17</v>
      </c>
      <c r="I48">
        <v>18900</v>
      </c>
      <c r="J48">
        <v>19900</v>
      </c>
    </row>
    <row r="49" spans="1:10" x14ac:dyDescent="0.35">
      <c r="H49" s="5" t="s">
        <v>18</v>
      </c>
      <c r="I49">
        <v>17200</v>
      </c>
      <c r="J49">
        <v>18100</v>
      </c>
    </row>
    <row r="50" spans="1:10" x14ac:dyDescent="0.35">
      <c r="H50" s="5" t="s">
        <v>19</v>
      </c>
      <c r="I50">
        <v>20200</v>
      </c>
      <c r="J50">
        <v>18900</v>
      </c>
    </row>
    <row r="51" spans="1:10" x14ac:dyDescent="0.35">
      <c r="H51" s="5" t="s">
        <v>20</v>
      </c>
      <c r="I51">
        <v>22400</v>
      </c>
      <c r="J51">
        <v>21400</v>
      </c>
    </row>
    <row r="52" spans="1:10" x14ac:dyDescent="0.35">
      <c r="H52" s="5" t="s">
        <v>21</v>
      </c>
      <c r="I52">
        <v>25600</v>
      </c>
      <c r="J52">
        <v>23900</v>
      </c>
    </row>
    <row r="53" spans="1:10" x14ac:dyDescent="0.35">
      <c r="H53" s="5" t="s">
        <v>26</v>
      </c>
      <c r="I53">
        <v>211700</v>
      </c>
      <c r="J53">
        <v>206400</v>
      </c>
    </row>
    <row r="61" spans="1:10" x14ac:dyDescent="0.35">
      <c r="A61" s="4" t="s">
        <v>27</v>
      </c>
      <c r="B61" s="4" t="s">
        <v>28</v>
      </c>
    </row>
    <row r="62" spans="1:10" x14ac:dyDescent="0.35">
      <c r="A62" s="4" t="s">
        <v>25</v>
      </c>
      <c r="B62" t="s">
        <v>22</v>
      </c>
      <c r="C62" t="s">
        <v>23</v>
      </c>
      <c r="D62" t="s">
        <v>10</v>
      </c>
      <c r="E62" t="s">
        <v>26</v>
      </c>
    </row>
    <row r="63" spans="1:10" x14ac:dyDescent="0.35">
      <c r="A63" s="5" t="s">
        <v>9</v>
      </c>
      <c r="B63">
        <v>6000</v>
      </c>
      <c r="C63">
        <v>2500</v>
      </c>
      <c r="D63">
        <v>4200</v>
      </c>
      <c r="E63">
        <v>12700</v>
      </c>
    </row>
    <row r="64" spans="1:10" x14ac:dyDescent="0.35">
      <c r="A64" s="5" t="s">
        <v>11</v>
      </c>
      <c r="B64">
        <v>5800</v>
      </c>
      <c r="C64">
        <v>2300</v>
      </c>
      <c r="D64">
        <v>4000</v>
      </c>
      <c r="E64">
        <v>12100</v>
      </c>
    </row>
    <row r="65" spans="1:5" x14ac:dyDescent="0.35">
      <c r="A65" s="5" t="s">
        <v>12</v>
      </c>
      <c r="B65">
        <v>6500</v>
      </c>
      <c r="C65">
        <v>3000</v>
      </c>
      <c r="D65">
        <v>4600</v>
      </c>
      <c r="E65">
        <v>14100</v>
      </c>
    </row>
    <row r="66" spans="1:5" x14ac:dyDescent="0.35">
      <c r="A66" s="5" t="s">
        <v>13</v>
      </c>
      <c r="B66">
        <v>6800</v>
      </c>
      <c r="C66">
        <v>3400</v>
      </c>
      <c r="D66">
        <v>4800</v>
      </c>
      <c r="E66">
        <v>15000</v>
      </c>
    </row>
    <row r="67" spans="1:5" x14ac:dyDescent="0.35">
      <c r="A67" s="5" t="s">
        <v>14</v>
      </c>
      <c r="B67">
        <v>7200</v>
      </c>
      <c r="C67">
        <v>3900</v>
      </c>
      <c r="D67">
        <v>5200</v>
      </c>
      <c r="E67">
        <v>16300</v>
      </c>
    </row>
    <row r="68" spans="1:5" x14ac:dyDescent="0.35">
      <c r="A68" s="5" t="s">
        <v>15</v>
      </c>
      <c r="B68">
        <v>7600</v>
      </c>
      <c r="C68">
        <v>4500</v>
      </c>
      <c r="D68">
        <v>5600</v>
      </c>
      <c r="E68">
        <v>17700</v>
      </c>
    </row>
    <row r="69" spans="1:5" x14ac:dyDescent="0.35">
      <c r="A69" s="5" t="s">
        <v>16</v>
      </c>
      <c r="B69">
        <v>8200</v>
      </c>
      <c r="C69">
        <v>5200</v>
      </c>
      <c r="D69">
        <v>6100</v>
      </c>
      <c r="E69">
        <v>19500</v>
      </c>
    </row>
    <row r="70" spans="1:5" x14ac:dyDescent="0.35">
      <c r="A70" s="5" t="s">
        <v>17</v>
      </c>
      <c r="B70">
        <v>8000</v>
      </c>
      <c r="C70">
        <v>5000</v>
      </c>
      <c r="D70">
        <v>5900</v>
      </c>
      <c r="E70">
        <v>18900</v>
      </c>
    </row>
    <row r="71" spans="1:5" x14ac:dyDescent="0.35">
      <c r="A71" s="5" t="s">
        <v>18</v>
      </c>
      <c r="B71">
        <v>7500</v>
      </c>
      <c r="C71">
        <v>4200</v>
      </c>
      <c r="D71">
        <v>5500</v>
      </c>
      <c r="E71">
        <v>17200</v>
      </c>
    </row>
    <row r="72" spans="1:5" x14ac:dyDescent="0.35">
      <c r="A72" s="5" t="s">
        <v>19</v>
      </c>
      <c r="B72">
        <v>8400</v>
      </c>
      <c r="C72">
        <v>5600</v>
      </c>
      <c r="D72">
        <v>6200</v>
      </c>
      <c r="E72">
        <v>20200</v>
      </c>
    </row>
    <row r="73" spans="1:5" x14ac:dyDescent="0.35">
      <c r="A73" s="5" t="s">
        <v>20</v>
      </c>
      <c r="B73">
        <v>9100</v>
      </c>
      <c r="C73">
        <v>6500</v>
      </c>
      <c r="D73">
        <v>6800</v>
      </c>
      <c r="E73">
        <v>22400</v>
      </c>
    </row>
    <row r="74" spans="1:5" x14ac:dyDescent="0.35">
      <c r="A74" s="5" t="s">
        <v>21</v>
      </c>
      <c r="B74">
        <v>10200</v>
      </c>
      <c r="C74">
        <v>7800</v>
      </c>
      <c r="D74">
        <v>7600</v>
      </c>
      <c r="E74">
        <v>25600</v>
      </c>
    </row>
    <row r="75" spans="1:5" x14ac:dyDescent="0.35">
      <c r="A75" s="5" t="s">
        <v>26</v>
      </c>
      <c r="B75">
        <v>91300</v>
      </c>
      <c r="C75">
        <v>53900</v>
      </c>
      <c r="D75">
        <v>66500</v>
      </c>
      <c r="E75">
        <v>211700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8"/>
  <sheetViews>
    <sheetView zoomScale="55" zoomScaleNormal="55" workbookViewId="0">
      <selection activeCell="AG12" sqref="AG12"/>
    </sheetView>
  </sheetViews>
  <sheetFormatPr defaultRowHeight="14.5" x14ac:dyDescent="0.35"/>
  <cols>
    <col min="1" max="27" width="8" customWidth="1"/>
  </cols>
  <sheetData>
    <row r="1" spans="1:27" ht="19" customHeight="1" x14ac:dyDescent="0.3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ht="19" customHeight="1" x14ac:dyDescent="0.35">
      <c r="A2" s="64" t="s">
        <v>34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53"/>
    </row>
    <row r="3" spans="1:27" ht="19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53"/>
    </row>
    <row r="4" spans="1:27" ht="19" customHeight="1" x14ac:dyDescent="0.3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53"/>
    </row>
    <row r="5" spans="1:27" ht="19" customHeight="1" x14ac:dyDescent="0.3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spans="1:27" ht="19" customHeight="1" x14ac:dyDescent="0.3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ht="19" customHeight="1" x14ac:dyDescent="0.35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 ht="19" customHeight="1" x14ac:dyDescent="0.3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27" ht="19" customHeight="1" x14ac:dyDescent="0.3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27" ht="19" customHeight="1" x14ac:dyDescent="0.3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 ht="19" customHeight="1" x14ac:dyDescent="0.3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7" ht="19" customHeight="1" x14ac:dyDescent="0.3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 ht="19" customHeight="1" x14ac:dyDescent="0.3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 ht="19" customHeight="1" x14ac:dyDescent="0.3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 ht="19" customHeight="1" x14ac:dyDescent="0.3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 ht="19" customHeight="1" x14ac:dyDescent="0.3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ht="19" customHeight="1" x14ac:dyDescent="0.3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ht="19" customHeight="1" x14ac:dyDescent="0.3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ht="19" customHeight="1" x14ac:dyDescent="0.3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ht="19" customHeight="1" x14ac:dyDescent="0.3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1:27" ht="19" customHeight="1" x14ac:dyDescent="0.3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1:27" ht="19" customHeight="1" x14ac:dyDescent="0.3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 ht="19" customHeight="1" x14ac:dyDescent="0.3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1:27" ht="19" customHeight="1" x14ac:dyDescent="0.3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spans="1:27" ht="19" customHeight="1" x14ac:dyDescent="0.3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 ht="19" customHeight="1" x14ac:dyDescent="0.3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 ht="19" customHeight="1" x14ac:dyDescent="0.3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 ht="19" customHeight="1" x14ac:dyDescent="0.3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 ht="19" customHeight="1" x14ac:dyDescent="0.3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 ht="19" customHeight="1" x14ac:dyDescent="0.3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ht="19" customHeight="1" x14ac:dyDescent="0.3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ht="19" customHeight="1" x14ac:dyDescent="0.3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ht="19" customHeight="1" x14ac:dyDescent="0.3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 ht="19" customHeight="1" x14ac:dyDescent="0.3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ht="19" customHeight="1" x14ac:dyDescent="0.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 ht="19" customHeight="1" x14ac:dyDescent="0.3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 ht="19" customHeight="1" x14ac:dyDescent="0.3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 ht="19" customHeight="1" x14ac:dyDescent="0.3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 ht="19" customHeight="1" x14ac:dyDescent="0.3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 ht="19" customHeight="1" x14ac:dyDescent="0.3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1:27" ht="19" customHeight="1" x14ac:dyDescent="0.3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1:27" ht="19" customHeight="1" x14ac:dyDescent="0.3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1:27" ht="19" customHeight="1" x14ac:dyDescent="0.3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1:27" ht="19" customHeight="1" x14ac:dyDescent="0.3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1:27" ht="19" customHeight="1" x14ac:dyDescent="0.3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 ht="19" customHeight="1" x14ac:dyDescent="0.3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 ht="19" customHeight="1" x14ac:dyDescent="0.3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 ht="19" customHeight="1" x14ac:dyDescent="0.3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</sheetData>
  <mergeCells count="1">
    <mergeCell ref="A2:Z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88"/>
  <sheetViews>
    <sheetView tabSelected="1" topLeftCell="A219" zoomScale="55" zoomScaleNormal="55" workbookViewId="0">
      <selection activeCell="A262" sqref="A262:O262"/>
    </sheetView>
  </sheetViews>
  <sheetFormatPr defaultRowHeight="14.5" x14ac:dyDescent="0.35"/>
  <cols>
    <col min="1" max="1" width="12" customWidth="1"/>
    <col min="2" max="2" width="17" customWidth="1"/>
    <col min="3" max="3" width="14" customWidth="1"/>
    <col min="4" max="8" width="17" customWidth="1"/>
    <col min="9" max="9" width="3" customWidth="1"/>
    <col min="10" max="10" width="26" customWidth="1"/>
    <col min="11" max="15" width="17" customWidth="1"/>
  </cols>
  <sheetData>
    <row r="1" spans="1:15" ht="22" customHeight="1" thickBot="1" x14ac:dyDescent="0.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8" customHeight="1" thickBot="1" x14ac:dyDescent="0.4">
      <c r="A2" s="74" t="s">
        <v>35</v>
      </c>
      <c r="B2" s="75"/>
      <c r="C2" s="76"/>
      <c r="D2" s="77"/>
      <c r="E2" s="78"/>
      <c r="F2" s="76"/>
      <c r="G2" s="76"/>
      <c r="H2" s="76"/>
      <c r="I2" s="76"/>
      <c r="J2" s="76"/>
      <c r="K2" s="76"/>
      <c r="L2" s="76"/>
      <c r="M2" s="76"/>
      <c r="N2" s="76"/>
      <c r="O2" s="79"/>
    </row>
    <row r="3" spans="1:15" ht="22" customHeight="1" thickBot="1" x14ac:dyDescent="0.4">
      <c r="A3" s="6"/>
      <c r="B3" s="6"/>
      <c r="C3" s="6"/>
      <c r="D3" s="7"/>
      <c r="E3" s="8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38" customHeight="1" x14ac:dyDescent="0.35">
      <c r="A4" s="9" t="s">
        <v>36</v>
      </c>
      <c r="B4" s="10" t="s">
        <v>37</v>
      </c>
      <c r="C4" s="6" t="s">
        <v>0</v>
      </c>
      <c r="D4" s="7"/>
      <c r="E4" s="8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2" customHeight="1" x14ac:dyDescent="0.35">
      <c r="A5" s="11">
        <v>1</v>
      </c>
      <c r="B5" s="11">
        <f>SUMIFS(Raw_Dataset!$C$2:$C$37,Raw_Dataset!$A$2:$A$37,C5,Raw_Dataset!$B$2:$B$37,"Nile Espresso")</f>
        <v>4200</v>
      </c>
      <c r="C5" s="6" t="s">
        <v>9</v>
      </c>
      <c r="D5" s="7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22" customHeight="1" x14ac:dyDescent="0.35">
      <c r="A6" s="11">
        <v>2</v>
      </c>
      <c r="B6" s="11">
        <f>SUMIFS(Raw_Dataset!$C$2:$C$37,Raw_Dataset!$A$2:$A$37,C6,Raw_Dataset!$B$2:$B$37,"Nile Espresso")</f>
        <v>4000</v>
      </c>
      <c r="C6" s="6" t="s">
        <v>11</v>
      </c>
      <c r="D6" s="7"/>
      <c r="E6" s="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22" customHeight="1" x14ac:dyDescent="0.35">
      <c r="A7" s="11">
        <v>3</v>
      </c>
      <c r="B7" s="11">
        <f>SUMIFS(Raw_Dataset!$C$2:$C$37,Raw_Dataset!$A$2:$A$37,C7,Raw_Dataset!$B$2:$B$37,"Nile Espresso")</f>
        <v>4600</v>
      </c>
      <c r="C7" s="6" t="s">
        <v>12</v>
      </c>
      <c r="D7" s="7"/>
      <c r="E7" s="8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22" customHeight="1" x14ac:dyDescent="0.35">
      <c r="A8" s="11">
        <v>4</v>
      </c>
      <c r="B8" s="11">
        <f>SUMIFS(Raw_Dataset!$C$2:$C$37,Raw_Dataset!$A$2:$A$37,C8,Raw_Dataset!$B$2:$B$37,"Nile Espresso")</f>
        <v>4800</v>
      </c>
      <c r="C8" s="6" t="s">
        <v>13</v>
      </c>
      <c r="D8" s="7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22" customHeight="1" x14ac:dyDescent="0.35">
      <c r="A9" s="11">
        <v>5</v>
      </c>
      <c r="B9" s="11">
        <f>SUMIFS(Raw_Dataset!$C$2:$C$37,Raw_Dataset!$A$2:$A$37,C9,Raw_Dataset!$B$2:$B$37,"Nile Espresso")</f>
        <v>5200</v>
      </c>
      <c r="C9" s="6" t="s">
        <v>14</v>
      </c>
      <c r="D9" s="7"/>
      <c r="E9" s="8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22" customHeight="1" x14ac:dyDescent="0.35">
      <c r="A10" s="11">
        <v>6</v>
      </c>
      <c r="B10" s="11">
        <f>SUMIFS(Raw_Dataset!$C$2:$C$37,Raw_Dataset!$A$2:$A$37,C10,Raw_Dataset!$B$2:$B$37,"Nile Espresso")</f>
        <v>5600</v>
      </c>
      <c r="C10" s="6" t="s">
        <v>15</v>
      </c>
      <c r="D10" s="7"/>
      <c r="E10" s="8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22" customHeight="1" x14ac:dyDescent="0.35">
      <c r="A11" s="11">
        <v>7</v>
      </c>
      <c r="B11" s="11">
        <f>SUMIFS(Raw_Dataset!$C$2:$C$37,Raw_Dataset!$A$2:$A$37,C11,Raw_Dataset!$B$2:$B$37,"Nile Espresso")</f>
        <v>6100</v>
      </c>
      <c r="C11" s="6" t="s">
        <v>16</v>
      </c>
      <c r="D11" s="7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22" customHeight="1" x14ac:dyDescent="0.35">
      <c r="A12" s="11">
        <v>8</v>
      </c>
      <c r="B12" s="11">
        <f>SUMIFS(Raw_Dataset!$C$2:$C$37,Raw_Dataset!$A$2:$A$37,C12,Raw_Dataset!$B$2:$B$37,"Nile Espresso")</f>
        <v>5900</v>
      </c>
      <c r="C12" s="6" t="s">
        <v>17</v>
      </c>
      <c r="D12" s="7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22" customHeight="1" x14ac:dyDescent="0.35">
      <c r="A13" s="11">
        <v>9</v>
      </c>
      <c r="B13" s="11">
        <f>SUMIFS(Raw_Dataset!$C$2:$C$37,Raw_Dataset!$A$2:$A$37,C13,Raw_Dataset!$B$2:$B$37,"Nile Espresso")</f>
        <v>5500</v>
      </c>
      <c r="C13" s="6" t="s">
        <v>18</v>
      </c>
      <c r="D13" s="7"/>
      <c r="E13" s="8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22" customHeight="1" x14ac:dyDescent="0.35">
      <c r="A14" s="11">
        <v>10</v>
      </c>
      <c r="B14" s="11">
        <f>SUMIFS(Raw_Dataset!$C$2:$C$37,Raw_Dataset!$A$2:$A$37,C14,Raw_Dataset!$B$2:$B$37,"Nile Espresso")</f>
        <v>6200</v>
      </c>
      <c r="C14" s="6" t="s">
        <v>19</v>
      </c>
      <c r="D14" s="7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22" customHeight="1" x14ac:dyDescent="0.35">
      <c r="A15" s="11">
        <v>11</v>
      </c>
      <c r="B15" s="11">
        <f>SUMIFS(Raw_Dataset!$C$2:$C$37,Raw_Dataset!$A$2:$A$37,C15,Raw_Dataset!$B$2:$B$37,"Nile Espresso")</f>
        <v>6800</v>
      </c>
      <c r="C15" s="6" t="s">
        <v>20</v>
      </c>
      <c r="D15" s="7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22" customHeight="1" x14ac:dyDescent="0.35">
      <c r="A16" s="11">
        <v>12</v>
      </c>
      <c r="B16" s="11">
        <f>SUMIFS(Raw_Dataset!$C$2:$C$37,Raw_Dataset!$A$2:$A$37,C16,Raw_Dataset!$B$2:$B$37,"Nile Espresso")</f>
        <v>7600</v>
      </c>
      <c r="C16" s="6" t="s">
        <v>21</v>
      </c>
      <c r="D16" s="7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22" customHeight="1" x14ac:dyDescent="0.35">
      <c r="A17" s="6"/>
      <c r="B17" s="6"/>
      <c r="C17" s="6"/>
      <c r="D17" s="7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22" customHeight="1" x14ac:dyDescent="0.35">
      <c r="A18" s="12"/>
      <c r="B18" s="12"/>
      <c r="C18" s="6"/>
      <c r="D18" s="13"/>
      <c r="E18" s="13"/>
      <c r="F18" s="13"/>
      <c r="G18" s="13"/>
      <c r="H18" s="14"/>
      <c r="I18" s="6"/>
      <c r="J18" s="6"/>
      <c r="K18" s="6"/>
      <c r="L18" s="6"/>
      <c r="M18" s="6"/>
      <c r="N18" s="6"/>
      <c r="O18" s="6"/>
    </row>
    <row r="19" spans="1:15" ht="32" customHeight="1" x14ac:dyDescent="0.35">
      <c r="A19" s="72" t="s">
        <v>38</v>
      </c>
      <c r="B19" s="73"/>
      <c r="C19" s="73"/>
      <c r="D19" s="73"/>
      <c r="E19" s="6"/>
      <c r="F19" s="2" t="s">
        <v>39</v>
      </c>
      <c r="G19" s="2"/>
      <c r="H19" s="6"/>
      <c r="I19" s="6"/>
      <c r="J19" s="6">
        <f>INDEX(D98:H98,1,MATCH(MIN(D108:H108),D108:H108,0))</f>
        <v>2</v>
      </c>
      <c r="K19" s="6"/>
      <c r="L19" s="6"/>
      <c r="M19" s="6"/>
      <c r="N19" s="6"/>
      <c r="O19" s="6"/>
    </row>
    <row r="20" spans="1:15" ht="22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38" customHeight="1" x14ac:dyDescent="0.35">
      <c r="A21" s="15" t="s">
        <v>36</v>
      </c>
      <c r="B21" s="16" t="s">
        <v>40</v>
      </c>
      <c r="C21" s="6"/>
      <c r="D21" s="17" t="s">
        <v>41</v>
      </c>
      <c r="E21" s="16" t="s">
        <v>42</v>
      </c>
      <c r="F21" s="16" t="s">
        <v>43</v>
      </c>
      <c r="G21" s="16" t="s">
        <v>44</v>
      </c>
      <c r="I21" s="6"/>
      <c r="J21" s="6"/>
      <c r="K21" s="6"/>
      <c r="L21" s="6"/>
      <c r="M21" s="6"/>
      <c r="N21" s="6"/>
      <c r="O21" s="6"/>
    </row>
    <row r="22" spans="1:15" ht="22" customHeight="1" x14ac:dyDescent="0.35">
      <c r="A22" s="11">
        <f t="shared" ref="A22:B33" si="0">A5</f>
        <v>1</v>
      </c>
      <c r="B22" s="11">
        <f t="shared" si="0"/>
        <v>4200</v>
      </c>
      <c r="C22" s="6"/>
      <c r="D22" s="18"/>
      <c r="E22" s="19"/>
      <c r="F22" s="19"/>
      <c r="G22" s="19"/>
      <c r="I22" s="6"/>
      <c r="J22" s="20" t="s">
        <v>46</v>
      </c>
      <c r="K22" s="21">
        <f>COUNT(E28:E33)</f>
        <v>6</v>
      </c>
      <c r="L22" s="6"/>
      <c r="M22" s="6"/>
      <c r="N22" s="6"/>
      <c r="O22" s="6"/>
    </row>
    <row r="23" spans="1:15" ht="22" customHeight="1" x14ac:dyDescent="0.35">
      <c r="A23" s="11">
        <f t="shared" si="0"/>
        <v>2</v>
      </c>
      <c r="B23" s="11">
        <f t="shared" si="0"/>
        <v>4000</v>
      </c>
      <c r="C23" s="6"/>
      <c r="D23" s="18"/>
      <c r="E23" s="19"/>
      <c r="F23" s="19"/>
      <c r="G23" s="19"/>
      <c r="I23" s="6"/>
      <c r="J23" s="22" t="s">
        <v>47</v>
      </c>
      <c r="K23" s="23">
        <f>SUM(F28:F33)</f>
        <v>3800</v>
      </c>
      <c r="L23" s="6"/>
      <c r="M23" s="6"/>
      <c r="N23" s="6"/>
      <c r="O23" s="6"/>
    </row>
    <row r="24" spans="1:15" ht="22" customHeight="1" x14ac:dyDescent="0.35">
      <c r="A24" s="11">
        <f t="shared" si="0"/>
        <v>3</v>
      </c>
      <c r="B24" s="11">
        <f t="shared" si="0"/>
        <v>4600</v>
      </c>
      <c r="C24" s="6"/>
      <c r="D24" s="18"/>
      <c r="E24" s="19"/>
      <c r="F24" s="19"/>
      <c r="G24" s="19"/>
      <c r="I24" s="6"/>
      <c r="J24" s="22" t="s">
        <v>48</v>
      </c>
      <c r="K24" s="23">
        <f>SUM(G28:G33)</f>
        <v>3105000</v>
      </c>
      <c r="L24" s="6"/>
      <c r="M24" s="6"/>
      <c r="N24" s="6"/>
      <c r="O24" s="6"/>
    </row>
    <row r="25" spans="1:15" ht="22" customHeight="1" x14ac:dyDescent="0.35">
      <c r="A25" s="11">
        <f t="shared" si="0"/>
        <v>4</v>
      </c>
      <c r="B25" s="11">
        <f t="shared" si="0"/>
        <v>4800</v>
      </c>
      <c r="C25" s="6"/>
      <c r="D25" s="18"/>
      <c r="E25" s="19"/>
      <c r="F25" s="19"/>
      <c r="G25" s="19"/>
      <c r="I25" s="6"/>
      <c r="L25" s="6"/>
      <c r="M25" s="6"/>
      <c r="N25" s="6"/>
      <c r="O25" s="6"/>
    </row>
    <row r="26" spans="1:15" ht="22" customHeight="1" x14ac:dyDescent="0.35">
      <c r="A26" s="11">
        <f t="shared" si="0"/>
        <v>5</v>
      </c>
      <c r="B26" s="11">
        <f t="shared" si="0"/>
        <v>5200</v>
      </c>
      <c r="C26" s="6"/>
      <c r="D26" s="18"/>
      <c r="E26" s="19"/>
      <c r="F26" s="19"/>
      <c r="G26" s="19"/>
      <c r="I26" s="6"/>
      <c r="J26" s="25"/>
      <c r="K26" s="6"/>
      <c r="L26" s="6"/>
      <c r="M26" s="6"/>
      <c r="N26" s="6"/>
      <c r="O26" s="6"/>
    </row>
    <row r="27" spans="1:15" ht="28" customHeight="1" x14ac:dyDescent="0.35">
      <c r="A27" s="11">
        <f t="shared" si="0"/>
        <v>6</v>
      </c>
      <c r="B27" s="11">
        <f t="shared" si="0"/>
        <v>5600</v>
      </c>
      <c r="C27" s="6"/>
      <c r="D27" s="18"/>
      <c r="E27" s="19"/>
      <c r="F27" s="19"/>
      <c r="G27" s="19"/>
      <c r="I27" s="6"/>
      <c r="J27" s="54" t="s">
        <v>50</v>
      </c>
      <c r="K27" s="27">
        <f>K23/K22</f>
        <v>633.33333333333337</v>
      </c>
      <c r="L27" s="6"/>
      <c r="M27" s="6"/>
      <c r="N27" s="6"/>
      <c r="O27" s="6"/>
    </row>
    <row r="28" spans="1:15" ht="28" customHeight="1" x14ac:dyDescent="0.35">
      <c r="A28" s="11">
        <f t="shared" si="0"/>
        <v>7</v>
      </c>
      <c r="B28" s="11">
        <f t="shared" si="0"/>
        <v>6100</v>
      </c>
      <c r="C28" s="6"/>
      <c r="D28" s="28">
        <f t="shared" ref="D28:D33" si="1">INDEX(D100:H100,1,MATCH($J$19,$D$98:$H$98,0))</f>
        <v>5400</v>
      </c>
      <c r="E28" s="29">
        <f t="shared" ref="E28:E33" si="2">B28-D28</f>
        <v>700</v>
      </c>
      <c r="F28" s="29">
        <f t="shared" ref="F28:F33" si="3">ABS(E28)</f>
        <v>700</v>
      </c>
      <c r="G28" s="29">
        <f t="shared" ref="G28:G33" si="4">E28^2</f>
        <v>490000</v>
      </c>
      <c r="I28" s="6"/>
      <c r="J28" s="54" t="s">
        <v>51</v>
      </c>
      <c r="K28" s="27">
        <f>K24/K22</f>
        <v>517500</v>
      </c>
      <c r="L28" s="6"/>
      <c r="M28" s="6"/>
      <c r="N28" s="6"/>
      <c r="O28" s="6"/>
    </row>
    <row r="29" spans="1:15" ht="28" customHeight="1" x14ac:dyDescent="0.35">
      <c r="A29" s="11">
        <f t="shared" si="0"/>
        <v>8</v>
      </c>
      <c r="B29" s="11">
        <f t="shared" si="0"/>
        <v>5900</v>
      </c>
      <c r="C29" s="6"/>
      <c r="D29" s="28">
        <f t="shared" si="1"/>
        <v>5850</v>
      </c>
      <c r="E29" s="29">
        <f t="shared" si="2"/>
        <v>50</v>
      </c>
      <c r="F29" s="29">
        <f t="shared" si="3"/>
        <v>50</v>
      </c>
      <c r="G29" s="29">
        <f t="shared" si="4"/>
        <v>2500</v>
      </c>
      <c r="I29" s="6"/>
      <c r="L29" s="6"/>
      <c r="M29" s="6"/>
      <c r="N29" s="6"/>
      <c r="O29" s="6"/>
    </row>
    <row r="30" spans="1:15" ht="22" customHeight="1" x14ac:dyDescent="0.35">
      <c r="A30" s="11">
        <f t="shared" si="0"/>
        <v>9</v>
      </c>
      <c r="B30" s="11">
        <f t="shared" si="0"/>
        <v>5500</v>
      </c>
      <c r="C30" s="6"/>
      <c r="D30" s="28">
        <f t="shared" si="1"/>
        <v>6000</v>
      </c>
      <c r="E30" s="29">
        <f t="shared" si="2"/>
        <v>-500</v>
      </c>
      <c r="F30" s="29">
        <f t="shared" si="3"/>
        <v>500</v>
      </c>
      <c r="G30" s="29">
        <f t="shared" si="4"/>
        <v>250000</v>
      </c>
      <c r="I30" s="6"/>
      <c r="J30" s="6"/>
      <c r="K30" s="6"/>
      <c r="L30" s="6"/>
      <c r="M30" s="6"/>
      <c r="N30" s="6"/>
      <c r="O30" s="6"/>
    </row>
    <row r="31" spans="1:15" ht="22" customHeight="1" x14ac:dyDescent="0.35">
      <c r="A31" s="11">
        <f t="shared" si="0"/>
        <v>10</v>
      </c>
      <c r="B31" s="11">
        <f t="shared" si="0"/>
        <v>6200</v>
      </c>
      <c r="C31" s="6"/>
      <c r="D31" s="28">
        <f t="shared" si="1"/>
        <v>5700</v>
      </c>
      <c r="E31" s="29">
        <f t="shared" si="2"/>
        <v>500</v>
      </c>
      <c r="F31" s="29">
        <f t="shared" si="3"/>
        <v>500</v>
      </c>
      <c r="G31" s="29">
        <f t="shared" si="4"/>
        <v>250000</v>
      </c>
      <c r="I31" s="6"/>
      <c r="J31" s="6"/>
      <c r="K31" s="6"/>
      <c r="L31" s="6"/>
      <c r="M31" s="6"/>
      <c r="N31" s="6"/>
      <c r="O31" s="6"/>
    </row>
    <row r="32" spans="1:15" ht="22" customHeight="1" x14ac:dyDescent="0.35">
      <c r="A32" s="11">
        <f t="shared" si="0"/>
        <v>11</v>
      </c>
      <c r="B32" s="11">
        <f t="shared" si="0"/>
        <v>6800</v>
      </c>
      <c r="C32" s="6"/>
      <c r="D32" s="28">
        <f t="shared" si="1"/>
        <v>5850</v>
      </c>
      <c r="E32" s="29">
        <f t="shared" si="2"/>
        <v>950</v>
      </c>
      <c r="F32" s="29">
        <f t="shared" si="3"/>
        <v>950</v>
      </c>
      <c r="G32" s="29">
        <f t="shared" si="4"/>
        <v>902500</v>
      </c>
      <c r="I32" s="6"/>
      <c r="J32" s="6"/>
      <c r="K32" s="6"/>
      <c r="L32" s="6"/>
      <c r="M32" s="6"/>
      <c r="N32" s="6"/>
      <c r="O32" s="6"/>
    </row>
    <row r="33" spans="1:15" ht="22" customHeight="1" x14ac:dyDescent="0.35">
      <c r="A33" s="11">
        <f t="shared" si="0"/>
        <v>12</v>
      </c>
      <c r="B33" s="11">
        <f t="shared" si="0"/>
        <v>7600</v>
      </c>
      <c r="C33" s="6"/>
      <c r="D33" s="28">
        <f t="shared" si="1"/>
        <v>6500</v>
      </c>
      <c r="E33" s="29">
        <f t="shared" si="2"/>
        <v>1100</v>
      </c>
      <c r="F33" s="29">
        <f t="shared" si="3"/>
        <v>1100</v>
      </c>
      <c r="G33" s="29">
        <f t="shared" si="4"/>
        <v>1210000</v>
      </c>
      <c r="I33" s="6"/>
      <c r="J33" s="6"/>
      <c r="K33" s="6"/>
      <c r="L33" s="6"/>
      <c r="M33" s="6"/>
      <c r="N33" s="6"/>
      <c r="O33" s="6"/>
    </row>
    <row r="34" spans="1:15" ht="22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22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32" customHeight="1" x14ac:dyDescent="0.35">
      <c r="A36" s="3" t="s">
        <v>53</v>
      </c>
      <c r="B36" s="2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22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38" customHeight="1" x14ac:dyDescent="0.35">
      <c r="A38" s="15" t="s">
        <v>36</v>
      </c>
      <c r="B38" s="16" t="s">
        <v>40</v>
      </c>
      <c r="C38" s="6"/>
      <c r="D38" s="32" t="s">
        <v>41</v>
      </c>
      <c r="E38" s="16" t="s">
        <v>42</v>
      </c>
      <c r="F38" s="16" t="s">
        <v>43</v>
      </c>
      <c r="G38" s="16" t="s">
        <v>44</v>
      </c>
      <c r="I38" s="6"/>
      <c r="J38" s="6"/>
      <c r="K38" s="6"/>
      <c r="L38" s="6"/>
      <c r="M38" s="6"/>
      <c r="N38" s="6"/>
      <c r="O38" s="6"/>
    </row>
    <row r="39" spans="1:15" ht="22" customHeight="1" x14ac:dyDescent="0.35">
      <c r="A39" s="11">
        <f t="shared" ref="A39:B50" si="6">A5</f>
        <v>1</v>
      </c>
      <c r="B39" s="11">
        <f t="shared" si="6"/>
        <v>4200</v>
      </c>
      <c r="C39" s="6"/>
      <c r="D39" s="18"/>
      <c r="E39" s="19"/>
      <c r="F39" s="19"/>
      <c r="G39" s="19"/>
      <c r="I39" s="6"/>
      <c r="J39" s="20" t="s">
        <v>46</v>
      </c>
      <c r="K39" s="33">
        <f>COUNT(E45:E50)</f>
        <v>6</v>
      </c>
      <c r="L39" s="6"/>
      <c r="M39" s="6"/>
      <c r="N39" s="6"/>
      <c r="O39" s="6"/>
    </row>
    <row r="40" spans="1:15" ht="22" customHeight="1" x14ac:dyDescent="0.35">
      <c r="A40" s="11">
        <f t="shared" si="6"/>
        <v>2</v>
      </c>
      <c r="B40" s="11">
        <f t="shared" si="6"/>
        <v>4000</v>
      </c>
      <c r="C40" s="6"/>
      <c r="D40" s="18"/>
      <c r="E40" s="19"/>
      <c r="F40" s="19"/>
      <c r="G40" s="19"/>
      <c r="I40" s="6"/>
      <c r="J40" s="22" t="s">
        <v>47</v>
      </c>
      <c r="K40" s="33">
        <f>SUM(F45:F50)</f>
        <v>2749.5238095238101</v>
      </c>
      <c r="L40" s="6"/>
      <c r="M40" s="6"/>
      <c r="N40" s="6"/>
      <c r="O40" s="6"/>
    </row>
    <row r="41" spans="1:15" ht="22" customHeight="1" x14ac:dyDescent="0.35">
      <c r="A41" s="11">
        <f t="shared" si="6"/>
        <v>3</v>
      </c>
      <c r="B41" s="11">
        <f t="shared" si="6"/>
        <v>4600</v>
      </c>
      <c r="C41" s="6"/>
      <c r="D41" s="18"/>
      <c r="E41" s="19"/>
      <c r="F41" s="19"/>
      <c r="G41" s="19"/>
      <c r="I41" s="6"/>
      <c r="J41" s="22" t="s">
        <v>48</v>
      </c>
      <c r="K41" s="33">
        <f>SUM(G45:G50)</f>
        <v>1741468.5941043086</v>
      </c>
      <c r="L41" s="6"/>
      <c r="M41" s="6"/>
      <c r="N41" s="6"/>
      <c r="O41" s="6"/>
    </row>
    <row r="42" spans="1:15" ht="22" customHeight="1" x14ac:dyDescent="0.35">
      <c r="A42" s="11">
        <f t="shared" si="6"/>
        <v>4</v>
      </c>
      <c r="B42" s="11">
        <f t="shared" si="6"/>
        <v>4800</v>
      </c>
      <c r="C42" s="6"/>
      <c r="D42" s="18"/>
      <c r="E42" s="19"/>
      <c r="F42" s="19"/>
      <c r="G42" s="19"/>
      <c r="I42" s="6"/>
      <c r="L42" s="6"/>
      <c r="M42" s="6"/>
      <c r="N42" s="6"/>
      <c r="O42" s="6"/>
    </row>
    <row r="43" spans="1:15" ht="22" customHeight="1" x14ac:dyDescent="0.35">
      <c r="A43" s="11">
        <f t="shared" si="6"/>
        <v>5</v>
      </c>
      <c r="B43" s="11">
        <f t="shared" si="6"/>
        <v>5200</v>
      </c>
      <c r="C43" s="6"/>
      <c r="D43" s="18"/>
      <c r="E43" s="19"/>
      <c r="F43" s="19"/>
      <c r="G43" s="19"/>
      <c r="I43" s="6"/>
      <c r="J43" s="25"/>
      <c r="K43" s="6"/>
      <c r="L43" s="6"/>
      <c r="M43" s="6"/>
      <c r="N43" s="6"/>
      <c r="O43" s="6"/>
    </row>
    <row r="44" spans="1:15" ht="28" customHeight="1" x14ac:dyDescent="0.35">
      <c r="A44" s="11">
        <f t="shared" si="6"/>
        <v>6</v>
      </c>
      <c r="B44" s="11">
        <f t="shared" si="6"/>
        <v>5600</v>
      </c>
      <c r="C44" s="6"/>
      <c r="D44" s="18"/>
      <c r="E44" s="19"/>
      <c r="F44" s="19"/>
      <c r="G44" s="19"/>
      <c r="I44" s="6"/>
      <c r="J44" s="54" t="s">
        <v>50</v>
      </c>
      <c r="K44" s="27">
        <f>K40/K39</f>
        <v>458.25396825396837</v>
      </c>
      <c r="L44" s="6"/>
      <c r="M44" s="6"/>
      <c r="N44" s="6"/>
      <c r="O44" s="6"/>
    </row>
    <row r="45" spans="1:15" ht="28" customHeight="1" x14ac:dyDescent="0.35">
      <c r="A45" s="11">
        <f t="shared" si="6"/>
        <v>7</v>
      </c>
      <c r="B45" s="11">
        <f t="shared" si="6"/>
        <v>6100</v>
      </c>
      <c r="C45" s="6"/>
      <c r="D45" s="34">
        <f>INTERCEPT($B$54:B59,$A$54:A59)+SLOPE($B$54:B59,$A$54:A59)*A45</f>
        <v>5813.333333333333</v>
      </c>
      <c r="E45" s="29">
        <f t="shared" ref="E45:E50" si="7">B45-D45</f>
        <v>286.66666666666697</v>
      </c>
      <c r="F45" s="29">
        <f t="shared" ref="F45:F50" si="8">ABS(E45)</f>
        <v>286.66666666666697</v>
      </c>
      <c r="G45" s="29">
        <f t="shared" ref="G45:G50" si="9">E45^2</f>
        <v>82177.777777777956</v>
      </c>
      <c r="I45" s="6"/>
      <c r="J45" s="54" t="s">
        <v>51</v>
      </c>
      <c r="K45" s="35">
        <f>K41/K39</f>
        <v>290244.76568405144</v>
      </c>
      <c r="L45" s="6"/>
      <c r="M45" s="6"/>
      <c r="N45" s="6"/>
      <c r="O45" s="6"/>
    </row>
    <row r="46" spans="1:15" ht="28" customHeight="1" x14ac:dyDescent="0.35">
      <c r="A46" s="11">
        <f t="shared" si="6"/>
        <v>8</v>
      </c>
      <c r="B46" s="11">
        <f t="shared" si="6"/>
        <v>5900</v>
      </c>
      <c r="C46" s="6"/>
      <c r="D46" s="34">
        <f>INTERCEPT($B$54:B60,$A$54:A60)+SLOPE($B$54:B60,$A$54:A60)*A46</f>
        <v>6285.7142857142862</v>
      </c>
      <c r="E46" s="29">
        <f t="shared" si="7"/>
        <v>-385.71428571428623</v>
      </c>
      <c r="F46" s="29">
        <f t="shared" si="8"/>
        <v>385.71428571428623</v>
      </c>
      <c r="G46" s="29">
        <f t="shared" si="9"/>
        <v>148775.51020408203</v>
      </c>
      <c r="I46" s="6"/>
      <c r="L46" s="6"/>
      <c r="M46" s="6"/>
      <c r="N46" s="6"/>
      <c r="O46" s="6"/>
    </row>
    <row r="47" spans="1:15" ht="22" customHeight="1" x14ac:dyDescent="0.35">
      <c r="A47" s="11">
        <f t="shared" si="6"/>
        <v>9</v>
      </c>
      <c r="B47" s="11">
        <f t="shared" si="6"/>
        <v>5500</v>
      </c>
      <c r="C47" s="6"/>
      <c r="D47" s="34">
        <f>INTERCEPT($B$54:B61,$A$54:A61)+SLOPE($B$54:B61,$A$54:A61)*A47</f>
        <v>6432.1428571428569</v>
      </c>
      <c r="E47" s="29">
        <f t="shared" si="7"/>
        <v>-932.14285714285688</v>
      </c>
      <c r="F47" s="29">
        <f t="shared" si="8"/>
        <v>932.14285714285688</v>
      </c>
      <c r="G47" s="29">
        <f t="shared" si="9"/>
        <v>868890.30612244853</v>
      </c>
      <c r="I47" s="6"/>
      <c r="J47" s="6"/>
      <c r="K47" s="6"/>
      <c r="L47" s="6"/>
      <c r="M47" s="6"/>
      <c r="N47" s="6"/>
      <c r="O47" s="6"/>
    </row>
    <row r="48" spans="1:15" ht="22" customHeight="1" x14ac:dyDescent="0.35">
      <c r="A48" s="11">
        <f t="shared" si="6"/>
        <v>10</v>
      </c>
      <c r="B48" s="11">
        <f t="shared" si="6"/>
        <v>6200</v>
      </c>
      <c r="C48" s="6"/>
      <c r="D48" s="34">
        <f>INTERCEPT($B$54:B62,$A$54:A62)+SLOPE($B$54:B62,$A$54:A62)*A48</f>
        <v>6325</v>
      </c>
      <c r="E48" s="29">
        <f t="shared" si="7"/>
        <v>-125</v>
      </c>
      <c r="F48" s="29">
        <f t="shared" si="8"/>
        <v>125</v>
      </c>
      <c r="G48" s="29">
        <f t="shared" si="9"/>
        <v>15625</v>
      </c>
      <c r="I48" s="6"/>
      <c r="J48" s="6"/>
      <c r="K48" s="6"/>
      <c r="L48" s="6"/>
      <c r="M48" s="6"/>
      <c r="N48" s="6"/>
      <c r="O48" s="6"/>
    </row>
    <row r="49" spans="1:15" ht="22" customHeight="1" x14ac:dyDescent="0.35">
      <c r="A49" s="11">
        <f t="shared" si="6"/>
        <v>11</v>
      </c>
      <c r="B49" s="11">
        <f t="shared" si="6"/>
        <v>6800</v>
      </c>
      <c r="C49" s="6"/>
      <c r="D49" s="34">
        <f>INTERCEPT($B$54:B63,$A$54:A63)+SLOPE($B$54:B63,$A$54:A63)*A49</f>
        <v>6520</v>
      </c>
      <c r="E49" s="29">
        <f t="shared" si="7"/>
        <v>280</v>
      </c>
      <c r="F49" s="29">
        <f t="shared" si="8"/>
        <v>280</v>
      </c>
      <c r="G49" s="29">
        <f t="shared" si="9"/>
        <v>78400</v>
      </c>
      <c r="I49" s="6"/>
      <c r="J49" s="6"/>
      <c r="K49" s="6"/>
      <c r="L49" s="6"/>
      <c r="M49" s="6"/>
      <c r="N49" s="6"/>
      <c r="O49" s="6"/>
    </row>
    <row r="50" spans="1:15" ht="22" customHeight="1" x14ac:dyDescent="0.35">
      <c r="A50" s="11">
        <f t="shared" si="6"/>
        <v>12</v>
      </c>
      <c r="B50" s="11">
        <f t="shared" si="6"/>
        <v>7600</v>
      </c>
      <c r="C50" s="6"/>
      <c r="D50" s="34">
        <f>INTERCEPT($B$54:B64,$A$54:A64)+SLOPE($B$54:B64,$A$54:A64)*A50</f>
        <v>6860</v>
      </c>
      <c r="E50" s="29">
        <f t="shared" si="7"/>
        <v>740</v>
      </c>
      <c r="F50" s="29">
        <f t="shared" si="8"/>
        <v>740</v>
      </c>
      <c r="G50" s="29">
        <f t="shared" si="9"/>
        <v>547600</v>
      </c>
      <c r="I50" s="6"/>
      <c r="J50" s="6"/>
      <c r="K50" s="6"/>
      <c r="L50" s="6"/>
      <c r="M50" s="6"/>
      <c r="N50" s="6"/>
      <c r="O50" s="6"/>
    </row>
    <row r="51" spans="1:15" ht="22" customHeight="1" x14ac:dyDescent="0.35">
      <c r="A51" s="12"/>
      <c r="B51" s="12"/>
      <c r="C51" s="6"/>
      <c r="D51" s="12"/>
      <c r="E51" s="12"/>
      <c r="F51" s="12"/>
      <c r="G51" s="12"/>
      <c r="H51" s="14"/>
      <c r="I51" s="6"/>
      <c r="J51" s="6"/>
      <c r="K51" s="6"/>
      <c r="L51" s="6"/>
      <c r="M51" s="6"/>
      <c r="N51" s="6"/>
      <c r="O51" s="6"/>
    </row>
    <row r="52" spans="1:15" ht="22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t="38" customHeight="1" x14ac:dyDescent="0.35">
      <c r="A53" s="36" t="s">
        <v>36</v>
      </c>
      <c r="B53" s="36" t="s">
        <v>40</v>
      </c>
      <c r="C53" s="36" t="s">
        <v>54</v>
      </c>
      <c r="D53" s="36" t="s">
        <v>55</v>
      </c>
      <c r="E53" s="37"/>
      <c r="F53" s="37"/>
      <c r="G53" s="6"/>
      <c r="H53" s="6"/>
      <c r="I53" s="6"/>
    </row>
    <row r="54" spans="1:15" ht="22" customHeight="1" x14ac:dyDescent="0.35">
      <c r="A54" s="11">
        <f t="shared" ref="A54:B65" si="11">A5</f>
        <v>1</v>
      </c>
      <c r="B54" s="11">
        <f t="shared" si="11"/>
        <v>4200</v>
      </c>
      <c r="C54" s="40">
        <f t="shared" ref="C54:C65" si="12">A54*B54</f>
        <v>4200</v>
      </c>
      <c r="D54" s="40">
        <f t="shared" ref="D54:D65" si="13">A54^2</f>
        <v>1</v>
      </c>
      <c r="E54" s="37"/>
      <c r="F54" s="37"/>
      <c r="G54" s="6"/>
      <c r="H54" s="6"/>
      <c r="I54" s="6"/>
    </row>
    <row r="55" spans="1:15" ht="22" customHeight="1" x14ac:dyDescent="0.35">
      <c r="A55" s="11">
        <f t="shared" si="11"/>
        <v>2</v>
      </c>
      <c r="B55" s="11">
        <f t="shared" si="11"/>
        <v>4000</v>
      </c>
      <c r="C55" s="40">
        <f t="shared" si="12"/>
        <v>8000</v>
      </c>
      <c r="D55" s="40">
        <f t="shared" si="13"/>
        <v>4</v>
      </c>
      <c r="E55" s="37"/>
      <c r="F55" s="37"/>
      <c r="G55" s="6"/>
      <c r="H55" s="6"/>
      <c r="I55" s="6"/>
    </row>
    <row r="56" spans="1:15" ht="22" customHeight="1" x14ac:dyDescent="0.35">
      <c r="A56" s="11">
        <f t="shared" si="11"/>
        <v>3</v>
      </c>
      <c r="B56" s="11">
        <f t="shared" si="11"/>
        <v>4600</v>
      </c>
      <c r="C56" s="40">
        <f t="shared" si="12"/>
        <v>13800</v>
      </c>
      <c r="D56" s="40">
        <f t="shared" si="13"/>
        <v>9</v>
      </c>
      <c r="E56" s="37"/>
      <c r="F56" s="37"/>
      <c r="G56" s="6"/>
      <c r="H56" s="6"/>
      <c r="I56" s="6"/>
    </row>
    <row r="57" spans="1:15" ht="22" customHeight="1" x14ac:dyDescent="0.35">
      <c r="A57" s="11">
        <f t="shared" si="11"/>
        <v>4</v>
      </c>
      <c r="B57" s="11">
        <f t="shared" si="11"/>
        <v>4800</v>
      </c>
      <c r="C57" s="40">
        <f t="shared" si="12"/>
        <v>19200</v>
      </c>
      <c r="D57" s="40">
        <f t="shared" si="13"/>
        <v>16</v>
      </c>
      <c r="E57" s="37"/>
      <c r="F57" s="37"/>
      <c r="G57" s="6"/>
      <c r="H57" s="6"/>
      <c r="I57" s="6"/>
    </row>
    <row r="58" spans="1:15" ht="22" customHeight="1" x14ac:dyDescent="0.35">
      <c r="A58" s="11">
        <f t="shared" si="11"/>
        <v>5</v>
      </c>
      <c r="B58" s="11">
        <f t="shared" si="11"/>
        <v>5200</v>
      </c>
      <c r="C58" s="40">
        <f t="shared" si="12"/>
        <v>26000</v>
      </c>
      <c r="D58" s="40">
        <f t="shared" si="13"/>
        <v>25</v>
      </c>
      <c r="E58" s="37"/>
      <c r="F58" s="37"/>
      <c r="G58" s="6"/>
      <c r="H58" s="6"/>
      <c r="I58" s="6"/>
    </row>
    <row r="59" spans="1:15" ht="22" customHeight="1" x14ac:dyDescent="0.35">
      <c r="A59" s="11">
        <f t="shared" si="11"/>
        <v>6</v>
      </c>
      <c r="B59" s="11">
        <f t="shared" si="11"/>
        <v>5600</v>
      </c>
      <c r="C59" s="40">
        <f t="shared" si="12"/>
        <v>33600</v>
      </c>
      <c r="D59" s="40">
        <f t="shared" si="13"/>
        <v>36</v>
      </c>
      <c r="E59" s="37"/>
      <c r="F59" s="37"/>
      <c r="G59" s="6"/>
      <c r="H59" s="6"/>
      <c r="I59" s="6"/>
    </row>
    <row r="60" spans="1:15" ht="22" customHeight="1" x14ac:dyDescent="0.35">
      <c r="A60" s="11">
        <f t="shared" si="11"/>
        <v>7</v>
      </c>
      <c r="B60" s="11">
        <f t="shared" si="11"/>
        <v>6100</v>
      </c>
      <c r="C60" s="40">
        <f t="shared" si="12"/>
        <v>42700</v>
      </c>
      <c r="D60" s="40">
        <f t="shared" si="13"/>
        <v>49</v>
      </c>
      <c r="E60" s="6"/>
      <c r="F60" s="37"/>
      <c r="G60" s="6"/>
      <c r="H60" s="6"/>
      <c r="I60" s="6"/>
    </row>
    <row r="61" spans="1:15" ht="22" customHeight="1" x14ac:dyDescent="0.35">
      <c r="A61" s="11">
        <f t="shared" si="11"/>
        <v>8</v>
      </c>
      <c r="B61" s="11">
        <f t="shared" si="11"/>
        <v>5900</v>
      </c>
      <c r="C61" s="40">
        <f t="shared" si="12"/>
        <v>47200</v>
      </c>
      <c r="D61" s="40">
        <f t="shared" si="13"/>
        <v>64</v>
      </c>
      <c r="E61" s="6"/>
      <c r="F61" s="37"/>
      <c r="G61" s="6"/>
      <c r="H61" s="6"/>
      <c r="I61" s="6"/>
    </row>
    <row r="62" spans="1:15" ht="22" customHeight="1" x14ac:dyDescent="0.35">
      <c r="A62" s="11">
        <f t="shared" si="11"/>
        <v>9</v>
      </c>
      <c r="B62" s="11">
        <f t="shared" si="11"/>
        <v>5500</v>
      </c>
      <c r="C62" s="40">
        <f t="shared" si="12"/>
        <v>49500</v>
      </c>
      <c r="D62" s="40">
        <f t="shared" si="13"/>
        <v>81</v>
      </c>
      <c r="E62" s="6"/>
      <c r="F62" s="37"/>
      <c r="G62" s="6"/>
      <c r="H62" s="6"/>
      <c r="I62" s="6"/>
    </row>
    <row r="63" spans="1:15" ht="22" customHeight="1" x14ac:dyDescent="0.35">
      <c r="A63" s="11">
        <f t="shared" si="11"/>
        <v>10</v>
      </c>
      <c r="B63" s="11">
        <f t="shared" si="11"/>
        <v>6200</v>
      </c>
      <c r="C63" s="40">
        <f t="shared" si="12"/>
        <v>62000</v>
      </c>
      <c r="D63" s="40">
        <f t="shared" si="13"/>
        <v>100</v>
      </c>
      <c r="E63" s="6"/>
      <c r="F63" s="37"/>
      <c r="G63" s="6"/>
      <c r="H63" s="6"/>
      <c r="I63" s="6"/>
    </row>
    <row r="64" spans="1:15" ht="22" customHeight="1" x14ac:dyDescent="0.35">
      <c r="A64" s="11">
        <f t="shared" si="11"/>
        <v>11</v>
      </c>
      <c r="B64" s="11">
        <f t="shared" si="11"/>
        <v>6800</v>
      </c>
      <c r="C64" s="40">
        <f t="shared" si="12"/>
        <v>74800</v>
      </c>
      <c r="D64" s="40">
        <f t="shared" si="13"/>
        <v>121</v>
      </c>
      <c r="E64" s="6"/>
      <c r="F64" s="37"/>
      <c r="G64" s="6"/>
      <c r="H64" s="6"/>
      <c r="I64" s="6"/>
    </row>
    <row r="65" spans="1:15" ht="22" customHeight="1" x14ac:dyDescent="0.35">
      <c r="A65" s="11">
        <f t="shared" si="11"/>
        <v>12</v>
      </c>
      <c r="B65" s="11">
        <f t="shared" si="11"/>
        <v>7600</v>
      </c>
      <c r="C65" s="40">
        <f t="shared" si="12"/>
        <v>91200</v>
      </c>
      <c r="D65" s="40">
        <f t="shared" si="13"/>
        <v>144</v>
      </c>
      <c r="E65" s="6"/>
      <c r="F65" s="37"/>
      <c r="G65" s="6"/>
      <c r="H65" s="6"/>
      <c r="I65" s="6"/>
    </row>
    <row r="66" spans="1:15" ht="22" customHeight="1" x14ac:dyDescent="0.35">
      <c r="A66" s="6"/>
      <c r="B66" s="6"/>
      <c r="C66" s="6"/>
      <c r="D66" s="6"/>
      <c r="E66" s="6"/>
      <c r="F66" s="37"/>
      <c r="G66" s="6"/>
      <c r="H66" s="6"/>
      <c r="I66" s="6"/>
      <c r="J66" s="6"/>
      <c r="K66" s="6"/>
      <c r="L66" s="6"/>
      <c r="M66" s="6"/>
      <c r="N66" s="6"/>
      <c r="O66" s="6"/>
    </row>
    <row r="67" spans="1:15" ht="22" customHeight="1" x14ac:dyDescent="0.35">
      <c r="A67" s="6"/>
      <c r="B67" s="6"/>
      <c r="C67" s="6"/>
      <c r="D67" s="6"/>
      <c r="E67" s="6"/>
      <c r="F67" s="37"/>
      <c r="G67" s="6"/>
      <c r="H67" s="6"/>
      <c r="I67" s="6"/>
      <c r="J67" s="6"/>
      <c r="K67" s="6"/>
      <c r="L67" s="6"/>
      <c r="M67" s="6"/>
      <c r="N67" s="6"/>
      <c r="O67" s="6"/>
    </row>
    <row r="68" spans="1:15" ht="22" customHeight="1" x14ac:dyDescent="0.35">
      <c r="A68" s="26" t="s">
        <v>46</v>
      </c>
      <c r="B68" s="33">
        <f>COUNT(A54:A65)</f>
        <v>12</v>
      </c>
      <c r="C68" s="37"/>
      <c r="D68" s="44" t="s">
        <v>59</v>
      </c>
      <c r="E68" s="45">
        <f>(B68*B71-B69*B70)/(B68*B72-B73)</f>
        <v>279.37062937062939</v>
      </c>
      <c r="F68" s="37"/>
      <c r="G68" s="6"/>
      <c r="H68" s="6"/>
      <c r="I68" s="6"/>
      <c r="J68" s="6"/>
      <c r="K68" s="6"/>
      <c r="L68" s="6"/>
      <c r="M68" s="6"/>
      <c r="N68" s="6"/>
      <c r="O68" s="6"/>
    </row>
    <row r="69" spans="1:15" ht="22" customHeight="1" x14ac:dyDescent="0.35">
      <c r="A69" s="46" t="s">
        <v>60</v>
      </c>
      <c r="B69" s="33">
        <f>SUM(A54:A65)</f>
        <v>78</v>
      </c>
      <c r="C69" s="37"/>
      <c r="D69" s="47" t="s">
        <v>61</v>
      </c>
      <c r="E69" s="48">
        <f>(B70-E68*B69)/B68</f>
        <v>3725.757575757576</v>
      </c>
      <c r="F69" s="37"/>
      <c r="G69" s="6"/>
      <c r="H69" s="6"/>
      <c r="I69" s="6"/>
      <c r="J69" s="6"/>
      <c r="K69" s="6"/>
      <c r="L69" s="6"/>
      <c r="M69" s="6"/>
      <c r="N69" s="6"/>
      <c r="O69" s="6"/>
    </row>
    <row r="70" spans="1:15" ht="22" customHeight="1" x14ac:dyDescent="0.35">
      <c r="A70" s="46" t="s">
        <v>62</v>
      </c>
      <c r="B70" s="33">
        <f>SUM(B54:B65)</f>
        <v>66500</v>
      </c>
      <c r="C70" s="37"/>
      <c r="D70" s="37"/>
      <c r="E70" s="37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22" customHeight="1" x14ac:dyDescent="0.35">
      <c r="A71" s="46" t="s">
        <v>63</v>
      </c>
      <c r="B71" s="33">
        <f>SUM(C54:C65)</f>
        <v>472200</v>
      </c>
      <c r="C71" s="37"/>
      <c r="D71" s="37"/>
      <c r="E71" s="37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22" customHeight="1" x14ac:dyDescent="0.35">
      <c r="A72" s="46" t="s">
        <v>64</v>
      </c>
      <c r="B72" s="33">
        <f>SUM(D54:D65)</f>
        <v>650</v>
      </c>
      <c r="C72" s="37"/>
      <c r="D72" s="37"/>
      <c r="E72" s="37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22" customHeight="1" x14ac:dyDescent="0.35">
      <c r="A73" s="46" t="s">
        <v>65</v>
      </c>
      <c r="B73" s="33">
        <f>B69^2</f>
        <v>6084</v>
      </c>
      <c r="C73" s="37"/>
      <c r="D73" s="37"/>
      <c r="E73" s="37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22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32" customHeight="1" x14ac:dyDescent="0.35">
      <c r="A75" s="1" t="s">
        <v>66</v>
      </c>
      <c r="B75" s="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t="22" customHeight="1" x14ac:dyDescent="0.35">
      <c r="A76" s="6"/>
      <c r="B76" s="6"/>
      <c r="C76" s="6"/>
      <c r="D76" s="6"/>
      <c r="E76" s="6"/>
      <c r="F76" s="6"/>
      <c r="G76" s="6"/>
      <c r="H76" s="49"/>
      <c r="I76" s="6"/>
      <c r="J76" s="6"/>
      <c r="K76" s="6"/>
      <c r="L76" s="6"/>
      <c r="M76" s="6"/>
      <c r="N76" s="6"/>
      <c r="O76" s="6"/>
    </row>
    <row r="77" spans="1:15" ht="48" customHeight="1" x14ac:dyDescent="0.35">
      <c r="A77" s="6"/>
      <c r="B77" s="6"/>
      <c r="C77" s="55"/>
      <c r="D77" s="56" t="s">
        <v>67</v>
      </c>
      <c r="E77" s="56" t="s">
        <v>68</v>
      </c>
      <c r="F77" s="68" t="s">
        <v>69</v>
      </c>
      <c r="G77" s="6"/>
      <c r="H77" s="6"/>
      <c r="I77" s="6"/>
      <c r="J77" s="6"/>
      <c r="K77" s="6"/>
      <c r="L77" s="6"/>
      <c r="M77" s="6"/>
      <c r="N77" s="6"/>
      <c r="O77" s="6"/>
    </row>
    <row r="78" spans="1:15" ht="22" customHeight="1" x14ac:dyDescent="0.35">
      <c r="A78" s="6"/>
      <c r="B78" s="6"/>
      <c r="C78" s="50" t="s">
        <v>50</v>
      </c>
      <c r="D78" s="51">
        <f>K27</f>
        <v>633.33333333333337</v>
      </c>
      <c r="E78" s="51">
        <f>K44</f>
        <v>458.25396825396837</v>
      </c>
      <c r="F78" s="67">
        <f>AVERAGE(M100:M105)</f>
        <v>316.66666666666669</v>
      </c>
      <c r="G78" s="6"/>
      <c r="H78" s="6"/>
      <c r="I78" s="6"/>
      <c r="J78" s="6"/>
      <c r="K78" s="6"/>
      <c r="L78" s="6"/>
      <c r="M78" s="6"/>
      <c r="N78" s="6"/>
      <c r="O78" s="6"/>
    </row>
    <row r="79" spans="1:15" ht="22" customHeight="1" x14ac:dyDescent="0.35">
      <c r="A79" s="6"/>
      <c r="B79" s="6"/>
      <c r="C79" s="50" t="s">
        <v>51</v>
      </c>
      <c r="D79" s="51">
        <f>K28</f>
        <v>517500</v>
      </c>
      <c r="E79" s="51">
        <f>K45</f>
        <v>290244.76568405144</v>
      </c>
      <c r="F79" s="67">
        <f>AVERAGE(N100:N105)</f>
        <v>105000</v>
      </c>
      <c r="G79" s="6"/>
      <c r="H79" s="6"/>
      <c r="I79" s="6"/>
      <c r="J79" s="6"/>
      <c r="K79" s="6"/>
      <c r="L79" s="6"/>
      <c r="M79" s="6"/>
      <c r="N79" s="6"/>
      <c r="O79" s="6"/>
    </row>
    <row r="80" spans="1:15" ht="22" customHeight="1" x14ac:dyDescent="0.35">
      <c r="A80" s="6"/>
      <c r="B80" s="6"/>
      <c r="G80" s="6"/>
      <c r="H80" s="6"/>
      <c r="I80" s="6"/>
      <c r="J80" s="6"/>
      <c r="K80" s="6"/>
      <c r="L80" s="6"/>
      <c r="M80" s="6"/>
      <c r="N80" s="6"/>
      <c r="O80" s="6"/>
    </row>
    <row r="81" spans="1:15" ht="15.5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t="15.5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t="34" customHeight="1" x14ac:dyDescent="0.35">
      <c r="A83" s="57" t="s">
        <v>70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</row>
    <row r="84" spans="1:15" ht="15.5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48" customHeight="1" x14ac:dyDescent="0.35">
      <c r="A85" s="68" t="s">
        <v>36</v>
      </c>
      <c r="B85" s="68" t="s">
        <v>0</v>
      </c>
      <c r="C85" s="68" t="s">
        <v>67</v>
      </c>
      <c r="D85" s="68" t="s">
        <v>68</v>
      </c>
      <c r="E85" s="68" t="s">
        <v>71</v>
      </c>
      <c r="F85" s="68" t="s">
        <v>72</v>
      </c>
      <c r="G85" s="6"/>
      <c r="H85" s="6"/>
      <c r="I85" s="6"/>
      <c r="J85" s="6"/>
      <c r="K85" s="6"/>
      <c r="L85" s="6"/>
      <c r="M85" s="6"/>
      <c r="N85" s="6"/>
      <c r="O85" s="6"/>
    </row>
    <row r="86" spans="1:15" ht="15.5" x14ac:dyDescent="0.35">
      <c r="A86" s="69">
        <v>13</v>
      </c>
      <c r="B86" s="69" t="s">
        <v>73</v>
      </c>
      <c r="C86" s="67">
        <f>CHOOSE($J$19-1,AVERAGE(B15:B16),AVERAGE(B14:B16),AVERAGE(B13:B16),AVERAGE(B12:B16),AVERAGE(B11:B16))</f>
        <v>7200</v>
      </c>
      <c r="D86" s="67">
        <f t="shared" ref="D86:D91" si="14">$E$69+$E$68*A86</f>
        <v>7357.575757575758</v>
      </c>
      <c r="E86" s="70">
        <f t="shared" ref="E86:E91" si="15">ROUND(D86,0)</f>
        <v>7358</v>
      </c>
      <c r="F86" s="69" t="s">
        <v>68</v>
      </c>
      <c r="G86" s="6"/>
      <c r="H86" s="6"/>
      <c r="I86" s="6"/>
      <c r="J86" s="6"/>
      <c r="K86" s="6"/>
      <c r="L86" s="6"/>
      <c r="M86" s="6"/>
      <c r="N86" s="6"/>
      <c r="O86" s="6"/>
    </row>
    <row r="87" spans="1:15" ht="15.5" x14ac:dyDescent="0.35">
      <c r="A87" s="69">
        <v>14</v>
      </c>
      <c r="B87" s="69" t="s">
        <v>74</v>
      </c>
      <c r="C87" s="67">
        <f>CHOOSE($J$19-1,AVERAGE(B15:B16),AVERAGE(B14:B16),AVERAGE(B13:B16),AVERAGE(B12:B16),AVERAGE(B11:B16))</f>
        <v>7200</v>
      </c>
      <c r="D87" s="67">
        <f t="shared" si="14"/>
        <v>7636.9463869463871</v>
      </c>
      <c r="E87" s="70">
        <f t="shared" si="15"/>
        <v>7637</v>
      </c>
      <c r="F87" s="69" t="s">
        <v>68</v>
      </c>
      <c r="G87" s="6"/>
      <c r="H87" s="6"/>
      <c r="I87" s="6"/>
      <c r="J87" s="6"/>
      <c r="K87" s="6"/>
      <c r="L87" s="6"/>
      <c r="M87" s="6"/>
      <c r="N87" s="6"/>
      <c r="O87" s="6"/>
    </row>
    <row r="88" spans="1:15" ht="15.5" x14ac:dyDescent="0.35">
      <c r="A88" s="69">
        <v>15</v>
      </c>
      <c r="B88" s="69" t="s">
        <v>75</v>
      </c>
      <c r="C88" s="67">
        <f>CHOOSE($J$19-1,AVERAGE(B15:B16),AVERAGE(B14:B16),AVERAGE(B13:B16),AVERAGE(B12:B16),AVERAGE(B11:B16))</f>
        <v>7200</v>
      </c>
      <c r="D88" s="67">
        <f t="shared" si="14"/>
        <v>7916.3170163170171</v>
      </c>
      <c r="E88" s="70">
        <f t="shared" si="15"/>
        <v>7916</v>
      </c>
      <c r="F88" s="69" t="s">
        <v>68</v>
      </c>
      <c r="G88" s="6"/>
      <c r="H88" s="6"/>
      <c r="I88" s="6"/>
      <c r="J88" s="6"/>
      <c r="K88" s="6"/>
      <c r="L88" s="6"/>
      <c r="M88" s="6"/>
      <c r="N88" s="6"/>
      <c r="O88" s="6"/>
    </row>
    <row r="89" spans="1:15" ht="15.5" x14ac:dyDescent="0.35">
      <c r="A89" s="69">
        <v>16</v>
      </c>
      <c r="B89" s="69" t="s">
        <v>76</v>
      </c>
      <c r="C89" s="67">
        <f>CHOOSE($J$19-1,AVERAGE(B15:B16),AVERAGE(B14:B16),AVERAGE(B13:B16),AVERAGE(B12:B16),AVERAGE(B11:B16))</f>
        <v>7200</v>
      </c>
      <c r="D89" s="67">
        <f t="shared" si="14"/>
        <v>8195.6876456876453</v>
      </c>
      <c r="E89" s="70">
        <f t="shared" si="15"/>
        <v>8196</v>
      </c>
      <c r="F89" s="69" t="s">
        <v>68</v>
      </c>
      <c r="G89" s="6"/>
      <c r="H89" s="6"/>
      <c r="I89" s="6"/>
      <c r="J89" s="6"/>
      <c r="K89" s="6"/>
      <c r="L89" s="6"/>
      <c r="M89" s="6"/>
      <c r="N89" s="6"/>
      <c r="O89" s="6"/>
    </row>
    <row r="90" spans="1:15" ht="15.5" x14ac:dyDescent="0.35">
      <c r="A90" s="69">
        <v>17</v>
      </c>
      <c r="B90" s="69" t="s">
        <v>77</v>
      </c>
      <c r="C90" s="67">
        <f>CHOOSE($J$19-1,AVERAGE(B15:B16),AVERAGE(B14:B16),AVERAGE(B13:B16),AVERAGE(B12:B16),AVERAGE(B11:B16))</f>
        <v>7200</v>
      </c>
      <c r="D90" s="67">
        <f t="shared" si="14"/>
        <v>8475.0582750582762</v>
      </c>
      <c r="E90" s="70">
        <f t="shared" si="15"/>
        <v>8475</v>
      </c>
      <c r="F90" s="69" t="s">
        <v>68</v>
      </c>
      <c r="G90" s="6"/>
      <c r="H90" s="6"/>
      <c r="I90" s="6"/>
      <c r="J90" s="6"/>
      <c r="K90" s="6"/>
      <c r="L90" s="6"/>
      <c r="M90" s="6"/>
      <c r="N90" s="6"/>
      <c r="O90" s="6"/>
    </row>
    <row r="91" spans="1:15" ht="15.5" x14ac:dyDescent="0.35">
      <c r="A91" s="69">
        <v>18</v>
      </c>
      <c r="B91" s="69" t="s">
        <v>78</v>
      </c>
      <c r="C91" s="67">
        <f>CHOOSE($J$19-1,AVERAGE(B15:B16),AVERAGE(B14:B16),AVERAGE(B13:B16),AVERAGE(B12:B16),AVERAGE(B11:B16))</f>
        <v>7200</v>
      </c>
      <c r="D91" s="67">
        <f t="shared" si="14"/>
        <v>8754.4289044289053</v>
      </c>
      <c r="E91" s="70">
        <f t="shared" si="15"/>
        <v>8754</v>
      </c>
      <c r="F91" s="69" t="s">
        <v>68</v>
      </c>
      <c r="G91" s="6"/>
      <c r="H91" s="6"/>
      <c r="I91" s="6"/>
      <c r="J91" s="6"/>
      <c r="K91" s="6"/>
      <c r="L91" s="6"/>
      <c r="M91" s="6"/>
      <c r="N91" s="6"/>
      <c r="O91" s="6"/>
    </row>
    <row r="92" spans="1:15" ht="15.5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3" customHeight="1" x14ac:dyDescent="0.35"/>
    <row r="94" spans="1:15" ht="3" customHeight="1" x14ac:dyDescent="0.35"/>
    <row r="95" spans="1:15" ht="15.5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ht="34" customHeight="1" x14ac:dyDescent="0.35">
      <c r="A96" s="57" t="s">
        <v>79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</row>
    <row r="97" spans="1:15" ht="15.5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ht="15.5" x14ac:dyDescent="0.35">
      <c r="A98" s="6"/>
      <c r="B98" s="6"/>
      <c r="C98" s="6"/>
      <c r="D98" s="6">
        <v>2</v>
      </c>
      <c r="E98" s="6">
        <v>3</v>
      </c>
      <c r="F98" s="6">
        <v>4</v>
      </c>
      <c r="G98" s="6">
        <v>5</v>
      </c>
      <c r="H98" s="6">
        <v>6</v>
      </c>
      <c r="I98" s="6"/>
      <c r="J98" s="6"/>
      <c r="K98" s="6"/>
      <c r="L98" s="6"/>
      <c r="M98" s="6"/>
      <c r="N98" s="6"/>
      <c r="O98" s="6"/>
    </row>
    <row r="99" spans="1:15" ht="48" customHeight="1" x14ac:dyDescent="0.35">
      <c r="A99" s="68" t="s">
        <v>36</v>
      </c>
      <c r="B99" s="68" t="s">
        <v>0</v>
      </c>
      <c r="C99" s="68" t="s">
        <v>80</v>
      </c>
      <c r="D99" s="68" t="s">
        <v>81</v>
      </c>
      <c r="E99" s="68" t="s">
        <v>82</v>
      </c>
      <c r="F99" s="68" t="s">
        <v>83</v>
      </c>
      <c r="G99" s="68" t="s">
        <v>84</v>
      </c>
      <c r="H99" s="68" t="s">
        <v>85</v>
      </c>
      <c r="I99" s="6"/>
      <c r="J99" s="68" t="s">
        <v>80</v>
      </c>
      <c r="K99" s="68" t="s">
        <v>69</v>
      </c>
      <c r="L99" s="68" t="s">
        <v>86</v>
      </c>
      <c r="M99" s="68" t="s">
        <v>87</v>
      </c>
      <c r="N99" s="68" t="s">
        <v>88</v>
      </c>
    </row>
    <row r="100" spans="1:15" ht="15.5" x14ac:dyDescent="0.35">
      <c r="A100" s="69">
        <f t="shared" ref="A100:A105" si="16">A11</f>
        <v>7</v>
      </c>
      <c r="B100" s="69" t="s">
        <v>16</v>
      </c>
      <c r="C100" s="67">
        <f t="shared" ref="C100:C105" si="17">B11</f>
        <v>6100</v>
      </c>
      <c r="D100" s="67">
        <f t="shared" ref="D100:D105" si="18">AVERAGE(B9:B10)</f>
        <v>5400</v>
      </c>
      <c r="E100" s="67">
        <f t="shared" ref="E100:E105" si="19">AVERAGE(B8:B10)</f>
        <v>5200</v>
      </c>
      <c r="F100" s="67">
        <f t="shared" ref="F100:F105" si="20">AVERAGE(B7:B10)</f>
        <v>5050</v>
      </c>
      <c r="G100" s="67">
        <f t="shared" ref="G100:G105" si="21">AVERAGE(B6:B10)</f>
        <v>4840</v>
      </c>
      <c r="H100" s="67">
        <f t="shared" ref="H100:H105" si="22">AVERAGE(B5:B10)</f>
        <v>4733.333333333333</v>
      </c>
      <c r="I100" s="52"/>
      <c r="J100" s="67">
        <f t="shared" ref="J100:J105" si="23">C100</f>
        <v>6100</v>
      </c>
      <c r="K100" s="67">
        <f>SUMIFS(Raw_Dataset!$D$2:$D$37,Raw_Dataset!$A$2:$A$37,B100,Raw_Dataset!$B$2:$B$37,"Nile Espresso")</f>
        <v>5800</v>
      </c>
      <c r="L100" s="67">
        <f t="shared" ref="L100:L105" si="24">J100-K100</f>
        <v>300</v>
      </c>
      <c r="M100" s="67">
        <f t="shared" ref="M100:M105" si="25">ABS(L100)</f>
        <v>300</v>
      </c>
      <c r="N100" s="67">
        <f t="shared" ref="N100:N105" si="26">L100^2</f>
        <v>90000</v>
      </c>
    </row>
    <row r="101" spans="1:15" ht="15.5" x14ac:dyDescent="0.35">
      <c r="A101" s="69">
        <f t="shared" si="16"/>
        <v>8</v>
      </c>
      <c r="B101" s="69" t="s">
        <v>17</v>
      </c>
      <c r="C101" s="67">
        <f t="shared" si="17"/>
        <v>5900</v>
      </c>
      <c r="D101" s="67">
        <f t="shared" si="18"/>
        <v>5850</v>
      </c>
      <c r="E101" s="67">
        <f t="shared" si="19"/>
        <v>5633.333333333333</v>
      </c>
      <c r="F101" s="67">
        <f t="shared" si="20"/>
        <v>5425</v>
      </c>
      <c r="G101" s="67">
        <f t="shared" si="21"/>
        <v>5260</v>
      </c>
      <c r="H101" s="67">
        <f t="shared" si="22"/>
        <v>5050</v>
      </c>
      <c r="I101" s="52"/>
      <c r="J101" s="67">
        <f t="shared" si="23"/>
        <v>5900</v>
      </c>
      <c r="K101" s="67">
        <f>SUMIFS(Raw_Dataset!$D$2:$D$37,Raw_Dataset!$A$2:$A$37,B101,Raw_Dataset!$B$2:$B$37,"Nile Espresso")</f>
        <v>6200</v>
      </c>
      <c r="L101" s="67">
        <f t="shared" si="24"/>
        <v>-300</v>
      </c>
      <c r="M101" s="67">
        <f t="shared" si="25"/>
        <v>300</v>
      </c>
      <c r="N101" s="67">
        <f t="shared" si="26"/>
        <v>90000</v>
      </c>
    </row>
    <row r="102" spans="1:15" ht="15.5" x14ac:dyDescent="0.35">
      <c r="A102" s="69">
        <f t="shared" si="16"/>
        <v>9</v>
      </c>
      <c r="B102" s="69" t="s">
        <v>18</v>
      </c>
      <c r="C102" s="67">
        <f t="shared" si="17"/>
        <v>5500</v>
      </c>
      <c r="D102" s="67">
        <f t="shared" si="18"/>
        <v>6000</v>
      </c>
      <c r="E102" s="67">
        <f t="shared" si="19"/>
        <v>5866.666666666667</v>
      </c>
      <c r="F102" s="67">
        <f t="shared" si="20"/>
        <v>5700</v>
      </c>
      <c r="G102" s="67">
        <f t="shared" si="21"/>
        <v>5520</v>
      </c>
      <c r="H102" s="67">
        <f t="shared" si="22"/>
        <v>5366.666666666667</v>
      </c>
      <c r="I102" s="52"/>
      <c r="J102" s="67">
        <f t="shared" si="23"/>
        <v>5500</v>
      </c>
      <c r="K102" s="67">
        <f>SUMIFS(Raw_Dataset!$D$2:$D$37,Raw_Dataset!$A$2:$A$37,B102,Raw_Dataset!$B$2:$B$37,"Nile Espresso")</f>
        <v>5700</v>
      </c>
      <c r="L102" s="67">
        <f t="shared" si="24"/>
        <v>-200</v>
      </c>
      <c r="M102" s="67">
        <f t="shared" si="25"/>
        <v>200</v>
      </c>
      <c r="N102" s="67">
        <f t="shared" si="26"/>
        <v>40000</v>
      </c>
    </row>
    <row r="103" spans="1:15" ht="15.5" x14ac:dyDescent="0.35">
      <c r="A103" s="69">
        <f t="shared" si="16"/>
        <v>10</v>
      </c>
      <c r="B103" s="69" t="s">
        <v>19</v>
      </c>
      <c r="C103" s="67">
        <f t="shared" si="17"/>
        <v>6200</v>
      </c>
      <c r="D103" s="67">
        <f t="shared" si="18"/>
        <v>5700</v>
      </c>
      <c r="E103" s="67">
        <f t="shared" si="19"/>
        <v>5833.333333333333</v>
      </c>
      <c r="F103" s="67">
        <f t="shared" si="20"/>
        <v>5775</v>
      </c>
      <c r="G103" s="67">
        <f t="shared" si="21"/>
        <v>5660</v>
      </c>
      <c r="H103" s="67">
        <f t="shared" si="22"/>
        <v>5516.666666666667</v>
      </c>
      <c r="I103" s="52"/>
      <c r="J103" s="67">
        <f t="shared" si="23"/>
        <v>6200</v>
      </c>
      <c r="K103" s="67">
        <f>SUMIFS(Raw_Dataset!$D$2:$D$37,Raw_Dataset!$A$2:$A$37,B103,Raw_Dataset!$B$2:$B$37,"Nile Espresso")</f>
        <v>5800</v>
      </c>
      <c r="L103" s="67">
        <f t="shared" si="24"/>
        <v>400</v>
      </c>
      <c r="M103" s="67">
        <f t="shared" si="25"/>
        <v>400</v>
      </c>
      <c r="N103" s="67">
        <f t="shared" si="26"/>
        <v>160000</v>
      </c>
    </row>
    <row r="104" spans="1:15" ht="15.5" x14ac:dyDescent="0.35">
      <c r="A104" s="69">
        <f t="shared" si="16"/>
        <v>11</v>
      </c>
      <c r="B104" s="69" t="s">
        <v>20</v>
      </c>
      <c r="C104" s="67">
        <f t="shared" si="17"/>
        <v>6800</v>
      </c>
      <c r="D104" s="67">
        <f t="shared" si="18"/>
        <v>5850</v>
      </c>
      <c r="E104" s="67">
        <f t="shared" si="19"/>
        <v>5866.666666666667</v>
      </c>
      <c r="F104" s="67">
        <f t="shared" si="20"/>
        <v>5925</v>
      </c>
      <c r="G104" s="67">
        <f t="shared" si="21"/>
        <v>5860</v>
      </c>
      <c r="H104" s="67">
        <f t="shared" si="22"/>
        <v>5750</v>
      </c>
      <c r="I104" s="52"/>
      <c r="J104" s="67">
        <f t="shared" si="23"/>
        <v>6800</v>
      </c>
      <c r="K104" s="67">
        <f>SUMIFS(Raw_Dataset!$D$2:$D$37,Raw_Dataset!$A$2:$A$37,B104,Raw_Dataset!$B$2:$B$37,"Nile Espresso")</f>
        <v>6500</v>
      </c>
      <c r="L104" s="67">
        <f t="shared" si="24"/>
        <v>300</v>
      </c>
      <c r="M104" s="67">
        <f t="shared" si="25"/>
        <v>300</v>
      </c>
      <c r="N104" s="67">
        <f t="shared" si="26"/>
        <v>90000</v>
      </c>
    </row>
    <row r="105" spans="1:15" ht="15.5" x14ac:dyDescent="0.35">
      <c r="A105" s="69">
        <f t="shared" si="16"/>
        <v>12</v>
      </c>
      <c r="B105" s="69" t="s">
        <v>21</v>
      </c>
      <c r="C105" s="67">
        <f t="shared" si="17"/>
        <v>7600</v>
      </c>
      <c r="D105" s="67">
        <f t="shared" si="18"/>
        <v>6500</v>
      </c>
      <c r="E105" s="67">
        <f t="shared" si="19"/>
        <v>6166.666666666667</v>
      </c>
      <c r="F105" s="67">
        <f t="shared" si="20"/>
        <v>6100</v>
      </c>
      <c r="G105" s="67">
        <f t="shared" si="21"/>
        <v>6100</v>
      </c>
      <c r="H105" s="67">
        <f t="shared" si="22"/>
        <v>6016.666666666667</v>
      </c>
      <c r="I105" s="52"/>
      <c r="J105" s="67">
        <f t="shared" si="23"/>
        <v>7600</v>
      </c>
      <c r="K105" s="67">
        <f>SUMIFS(Raw_Dataset!$D$2:$D$37,Raw_Dataset!$A$2:$A$37,B105,Raw_Dataset!$B$2:$B$37,"Nile Espresso")</f>
        <v>7200</v>
      </c>
      <c r="L105" s="67">
        <f t="shared" si="24"/>
        <v>400</v>
      </c>
      <c r="M105" s="67">
        <f t="shared" si="25"/>
        <v>400</v>
      </c>
      <c r="N105" s="67">
        <f t="shared" si="26"/>
        <v>160000</v>
      </c>
    </row>
    <row r="106" spans="1:15" ht="15.5" x14ac:dyDescent="0.35">
      <c r="A106" s="6"/>
      <c r="B106" s="6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6"/>
    </row>
    <row r="107" spans="1:15" ht="15.5" x14ac:dyDescent="0.35">
      <c r="A107" s="6"/>
      <c r="B107" s="6"/>
      <c r="C107" s="67" t="s">
        <v>89</v>
      </c>
      <c r="D107" s="67">
        <f>(ABS(C100-D100)+ABS(C101-D101)+ABS(C102-D102)+ABS(C103-D103)+ABS(C104-D104)+ABS(C105-D105))/COUNT(C100:C105)</f>
        <v>633.33333333333337</v>
      </c>
      <c r="E107" s="67">
        <f>(ABS(C100-E100)+ABS(C101-E101)+ABS(C102-E102)+ABS(C103-E103)+ABS(C104-E104)+ABS(C105-E105))/COUNT(C100:C105)</f>
        <v>711.1111111111112</v>
      </c>
      <c r="F107" s="67">
        <f>(ABS(C100-F100)+ABS(C101-F101)+ABS(C102-F102)+ABS(C103-F103)+ABS(C104-F104)+ABS(C105-F105))/COUNT(C100:C105)</f>
        <v>754.16666666666663</v>
      </c>
      <c r="G107" s="67">
        <f>(ABS(C100-G100)+ABS(C101-G101)+ABS(C102-G102)+ABS(C103-G103)+ABS(C104-G104)+ABS(C105-G105))/COUNT(C100:C105)</f>
        <v>816.66666666666663</v>
      </c>
      <c r="H107" s="67">
        <f>(ABS(C100-H100)+ABS(C101-H101)+ABS(C102-H102)+ABS(C103-H103)+ABS(C104-H104)+ABS(C105-H105))/COUNT(C100:C105)</f>
        <v>944.44444444444434</v>
      </c>
      <c r="I107" s="52"/>
      <c r="J107" s="52"/>
      <c r="K107" s="52"/>
      <c r="L107" s="52"/>
      <c r="M107" s="52"/>
      <c r="N107" s="52"/>
      <c r="O107" s="6"/>
    </row>
    <row r="108" spans="1:15" ht="15.5" x14ac:dyDescent="0.35">
      <c r="A108" s="6"/>
      <c r="B108" s="6"/>
      <c r="C108" s="67" t="s">
        <v>90</v>
      </c>
      <c r="D108" s="67">
        <f>((C100-D100)^2+(C101-D101)^2+(C102-D102)^2+(C103-D103)^2+(C104-D104)^2+(C105-D105)^2)/COUNT(C100:C105)</f>
        <v>517500</v>
      </c>
      <c r="E108" s="67">
        <f>((C100-E100)^2+(C101-E101)^2+(C102-E102)^2+(C103-E103)^2+(C104-E104)^2+(C105-E105)^2)/COUNT(C100:C105)</f>
        <v>679259.25925925921</v>
      </c>
      <c r="F108" s="67">
        <f>((C100-F100)^2+(C101-F101)^2+(C102-F102)^2+(C103-F103)^2+(C104-F104)^2+(C105-F105)^2)/COUNT(C100:C105)</f>
        <v>760729.16666666663</v>
      </c>
      <c r="G108" s="67">
        <f>((C100-G100)^2+(C101-G101)^2+(C102-G102)^2+(C103-G103)^2+(C104-G104)^2+(C105-G105)^2)/COUNT(C100:C105)</f>
        <v>903800</v>
      </c>
      <c r="H108" s="67">
        <f>((C100-H100)^2+(C101-H101)^2+(C102-H102)^2+(C103-H103)^2+(C104-H104)^2+(C105-H105)^2)/COUNT(C100:C105)</f>
        <v>1114074.0740740739</v>
      </c>
      <c r="I108" s="52"/>
      <c r="J108" s="52"/>
      <c r="K108" s="52"/>
      <c r="L108" s="52"/>
      <c r="M108" s="52"/>
      <c r="N108" s="52"/>
      <c r="O108" s="6"/>
    </row>
    <row r="109" spans="1:15" ht="15.5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3" customHeight="1" x14ac:dyDescent="0.35"/>
    <row r="111" spans="1:15" ht="3" customHeight="1" x14ac:dyDescent="0.35"/>
    <row r="112" spans="1:15" ht="15.5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5.5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3" customHeight="1" x14ac:dyDescent="0.35"/>
    <row r="115" spans="1:15" ht="3" customHeight="1" x14ac:dyDescent="0.35"/>
    <row r="116" spans="1:15" ht="3" customHeight="1" x14ac:dyDescent="0.35"/>
    <row r="117" spans="1:15" ht="3" customHeight="1" x14ac:dyDescent="0.35"/>
    <row r="118" spans="1:15" ht="3" customHeight="1" x14ac:dyDescent="0.35"/>
    <row r="119" spans="1:15" ht="3" customHeight="1" x14ac:dyDescent="0.35"/>
    <row r="120" spans="1:15" ht="3" customHeight="1" x14ac:dyDescent="0.35"/>
    <row r="121" spans="1:15" ht="3" customHeight="1" x14ac:dyDescent="0.35"/>
    <row r="122" spans="1:15" ht="3" customHeight="1" x14ac:dyDescent="0.35"/>
    <row r="123" spans="1:15" ht="3" customHeight="1" x14ac:dyDescent="0.35"/>
    <row r="124" spans="1:15" ht="3" customHeight="1" x14ac:dyDescent="0.35"/>
    <row r="125" spans="1:15" ht="15.5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5.5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5.5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5.5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5.5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5.5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22" customHeight="1" thickBot="1" x14ac:dyDescent="0.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38" customHeight="1" thickBot="1" x14ac:dyDescent="0.4">
      <c r="A132" s="80" t="s">
        <v>91</v>
      </c>
      <c r="B132" s="81"/>
      <c r="C132" s="82"/>
      <c r="D132" s="83"/>
      <c r="E132" s="84"/>
      <c r="F132" s="82"/>
      <c r="G132" s="82"/>
      <c r="H132" s="82"/>
      <c r="I132" s="82"/>
      <c r="J132" s="82"/>
      <c r="K132" s="82"/>
      <c r="L132" s="82"/>
      <c r="M132" s="82"/>
      <c r="N132" s="82"/>
      <c r="O132" s="85"/>
    </row>
    <row r="133" spans="1:15" ht="22" customHeight="1" thickBot="1" x14ac:dyDescent="0.4">
      <c r="A133" s="6"/>
      <c r="B133" s="6"/>
      <c r="C133" s="6"/>
      <c r="D133" s="7"/>
      <c r="E133" s="8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38" customHeight="1" x14ac:dyDescent="0.35">
      <c r="A134" s="9" t="s">
        <v>36</v>
      </c>
      <c r="B134" s="10" t="s">
        <v>37</v>
      </c>
      <c r="C134" s="6" t="s">
        <v>0</v>
      </c>
      <c r="D134" s="7"/>
      <c r="E134" s="8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22" customHeight="1" x14ac:dyDescent="0.35">
      <c r="A135" s="11">
        <v>1</v>
      </c>
      <c r="B135" s="11">
        <f>SUMIFS(Raw_Dataset!$C$2:$C$37,Raw_Dataset!$A$2:$A$37,C135,Raw_Dataset!$B$2:$B$37,"Cairo House Blend")</f>
        <v>6000</v>
      </c>
      <c r="C135" s="6" t="s">
        <v>9</v>
      </c>
      <c r="D135" s="7"/>
      <c r="E135" s="8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22" customHeight="1" x14ac:dyDescent="0.35">
      <c r="A136" s="11">
        <v>2</v>
      </c>
      <c r="B136" s="11">
        <f>SUMIFS(Raw_Dataset!$C$2:$C$37,Raw_Dataset!$A$2:$A$37,C136,Raw_Dataset!$B$2:$B$37,"Cairo House Blend")</f>
        <v>5800</v>
      </c>
      <c r="C136" s="6" t="s">
        <v>11</v>
      </c>
      <c r="D136" s="7"/>
      <c r="E136" s="8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22" customHeight="1" x14ac:dyDescent="0.35">
      <c r="A137" s="11">
        <v>3</v>
      </c>
      <c r="B137" s="11">
        <f>SUMIFS(Raw_Dataset!$C$2:$C$37,Raw_Dataset!$A$2:$A$37,C137,Raw_Dataset!$B$2:$B$37,"Cairo House Blend")</f>
        <v>6500</v>
      </c>
      <c r="C137" s="6" t="s">
        <v>12</v>
      </c>
      <c r="D137" s="7"/>
      <c r="E137" s="8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22" customHeight="1" x14ac:dyDescent="0.35">
      <c r="A138" s="11">
        <v>4</v>
      </c>
      <c r="B138" s="11">
        <f>SUMIFS(Raw_Dataset!$C$2:$C$37,Raw_Dataset!$A$2:$A$37,C138,Raw_Dataset!$B$2:$B$37,"Cairo House Blend")</f>
        <v>6800</v>
      </c>
      <c r="C138" s="6" t="s">
        <v>13</v>
      </c>
      <c r="D138" s="7"/>
      <c r="E138" s="8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22" customHeight="1" x14ac:dyDescent="0.35">
      <c r="A139" s="11">
        <v>5</v>
      </c>
      <c r="B139" s="11">
        <f>SUMIFS(Raw_Dataset!$C$2:$C$37,Raw_Dataset!$A$2:$A$37,C139,Raw_Dataset!$B$2:$B$37,"Cairo House Blend")</f>
        <v>7200</v>
      </c>
      <c r="C139" s="6" t="s">
        <v>14</v>
      </c>
      <c r="D139" s="7"/>
      <c r="E139" s="8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22" customHeight="1" x14ac:dyDescent="0.35">
      <c r="A140" s="11">
        <v>6</v>
      </c>
      <c r="B140" s="11">
        <f>SUMIFS(Raw_Dataset!$C$2:$C$37,Raw_Dataset!$A$2:$A$37,C140,Raw_Dataset!$B$2:$B$37,"Cairo House Blend")</f>
        <v>7600</v>
      </c>
      <c r="C140" s="6" t="s">
        <v>15</v>
      </c>
      <c r="D140" s="7"/>
      <c r="E140" s="8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22" customHeight="1" x14ac:dyDescent="0.35">
      <c r="A141" s="11">
        <v>7</v>
      </c>
      <c r="B141" s="11">
        <f>SUMIFS(Raw_Dataset!$C$2:$C$37,Raw_Dataset!$A$2:$A$37,C141,Raw_Dataset!$B$2:$B$37,"Cairo House Blend")</f>
        <v>8200</v>
      </c>
      <c r="C141" s="6" t="s">
        <v>16</v>
      </c>
      <c r="D141" s="7"/>
      <c r="E141" s="8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22" customHeight="1" x14ac:dyDescent="0.35">
      <c r="A142" s="11">
        <v>8</v>
      </c>
      <c r="B142" s="11">
        <f>SUMIFS(Raw_Dataset!$C$2:$C$37,Raw_Dataset!$A$2:$A$37,C142,Raw_Dataset!$B$2:$B$37,"Cairo House Blend")</f>
        <v>8000</v>
      </c>
      <c r="C142" s="6" t="s">
        <v>17</v>
      </c>
      <c r="D142" s="7"/>
      <c r="E142" s="8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22" customHeight="1" x14ac:dyDescent="0.35">
      <c r="A143" s="11">
        <v>9</v>
      </c>
      <c r="B143" s="11">
        <f>SUMIFS(Raw_Dataset!$C$2:$C$37,Raw_Dataset!$A$2:$A$37,C143,Raw_Dataset!$B$2:$B$37,"Cairo House Blend")</f>
        <v>7500</v>
      </c>
      <c r="C143" s="6" t="s">
        <v>18</v>
      </c>
      <c r="D143" s="7"/>
      <c r="E143" s="8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22" customHeight="1" x14ac:dyDescent="0.35">
      <c r="A144" s="11">
        <v>10</v>
      </c>
      <c r="B144" s="11">
        <f>SUMIFS(Raw_Dataset!$C$2:$C$37,Raw_Dataset!$A$2:$A$37,C144,Raw_Dataset!$B$2:$B$37,"Cairo House Blend")</f>
        <v>8400</v>
      </c>
      <c r="C144" s="6" t="s">
        <v>19</v>
      </c>
      <c r="D144" s="7"/>
      <c r="E144" s="8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22" customHeight="1" x14ac:dyDescent="0.35">
      <c r="A145" s="11">
        <v>11</v>
      </c>
      <c r="B145" s="11">
        <f>SUMIFS(Raw_Dataset!$C$2:$C$37,Raw_Dataset!$A$2:$A$37,C145,Raw_Dataset!$B$2:$B$37,"Cairo House Blend")</f>
        <v>9100</v>
      </c>
      <c r="C145" s="6" t="s">
        <v>20</v>
      </c>
      <c r="D145" s="7"/>
      <c r="E145" s="8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22" customHeight="1" x14ac:dyDescent="0.35">
      <c r="A146" s="11">
        <v>12</v>
      </c>
      <c r="B146" s="11">
        <f>SUMIFS(Raw_Dataset!$C$2:$C$37,Raw_Dataset!$A$2:$A$37,C146,Raw_Dataset!$B$2:$B$37,"Cairo House Blend")</f>
        <v>10200</v>
      </c>
      <c r="C146" s="6" t="s">
        <v>21</v>
      </c>
      <c r="D146" s="7"/>
      <c r="E146" s="8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22" customHeight="1" x14ac:dyDescent="0.35">
      <c r="A147" s="6"/>
      <c r="B147" s="6"/>
      <c r="C147" s="6"/>
      <c r="D147" s="7"/>
      <c r="E147" s="8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22" customHeight="1" x14ac:dyDescent="0.35">
      <c r="A148" s="12"/>
      <c r="B148" s="12"/>
      <c r="C148" s="6"/>
      <c r="D148" s="13"/>
      <c r="E148" s="13"/>
      <c r="F148" s="13"/>
      <c r="G148" s="13"/>
      <c r="H148" s="14"/>
      <c r="I148" s="6"/>
      <c r="J148" s="6"/>
      <c r="K148" s="6"/>
      <c r="L148" s="6"/>
      <c r="M148" s="6"/>
      <c r="N148" s="6"/>
      <c r="O148" s="6"/>
    </row>
    <row r="149" spans="1:15" ht="32" customHeight="1" x14ac:dyDescent="0.35">
      <c r="A149" s="58" t="s">
        <v>38</v>
      </c>
      <c r="B149" s="59"/>
      <c r="C149" s="59"/>
      <c r="D149" s="59"/>
      <c r="E149" s="6"/>
      <c r="F149" s="60" t="s">
        <v>39</v>
      </c>
      <c r="G149" s="60"/>
      <c r="H149" s="6"/>
      <c r="I149" s="6"/>
      <c r="J149" s="6">
        <f>INDEX(D228:H228,1,MATCH(MIN(D238:H238),D238:H238,0))</f>
        <v>2</v>
      </c>
      <c r="K149" s="6"/>
      <c r="L149" s="6"/>
      <c r="M149" s="6"/>
      <c r="N149" s="6"/>
      <c r="O149" s="6"/>
    </row>
    <row r="150" spans="1:15" ht="22" customHeigh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38" customHeight="1" x14ac:dyDescent="0.35">
      <c r="A151" s="15" t="s">
        <v>36</v>
      </c>
      <c r="B151" s="16" t="s">
        <v>40</v>
      </c>
      <c r="C151" s="6"/>
      <c r="D151" s="17" t="s">
        <v>41</v>
      </c>
      <c r="E151" s="16" t="s">
        <v>42</v>
      </c>
      <c r="F151" s="16" t="s">
        <v>43</v>
      </c>
      <c r="G151" s="16" t="s">
        <v>44</v>
      </c>
      <c r="I151" s="6"/>
      <c r="J151" s="6"/>
      <c r="K151" s="6"/>
      <c r="L151" s="6"/>
      <c r="M151" s="6"/>
      <c r="N151" s="6"/>
      <c r="O151" s="6"/>
    </row>
    <row r="152" spans="1:15" ht="22" customHeight="1" x14ac:dyDescent="0.35">
      <c r="A152" s="11">
        <f t="shared" ref="A152:B163" si="28">A135</f>
        <v>1</v>
      </c>
      <c r="B152" s="11">
        <f t="shared" si="28"/>
        <v>6000</v>
      </c>
      <c r="C152" s="6"/>
      <c r="D152" s="18"/>
      <c r="E152" s="19"/>
      <c r="F152" s="19"/>
      <c r="G152" s="19"/>
      <c r="I152" s="6"/>
      <c r="J152" s="20" t="s">
        <v>46</v>
      </c>
      <c r="K152" s="21">
        <f>COUNT(E158:E163)</f>
        <v>6</v>
      </c>
      <c r="L152" s="6"/>
      <c r="M152" s="6"/>
      <c r="N152" s="6"/>
      <c r="O152" s="6"/>
    </row>
    <row r="153" spans="1:15" ht="22" customHeight="1" x14ac:dyDescent="0.35">
      <c r="A153" s="11">
        <f t="shared" si="28"/>
        <v>2</v>
      </c>
      <c r="B153" s="11">
        <f t="shared" si="28"/>
        <v>5800</v>
      </c>
      <c r="C153" s="6"/>
      <c r="D153" s="18"/>
      <c r="E153" s="19"/>
      <c r="F153" s="19"/>
      <c r="G153" s="19"/>
      <c r="I153" s="6"/>
      <c r="J153" s="22" t="s">
        <v>47</v>
      </c>
      <c r="K153" s="23">
        <f>SUM(F158:F163)</f>
        <v>4750</v>
      </c>
      <c r="L153" s="6"/>
      <c r="M153" s="6"/>
      <c r="N153" s="6"/>
      <c r="O153" s="6"/>
    </row>
    <row r="154" spans="1:15" ht="22" customHeight="1" x14ac:dyDescent="0.35">
      <c r="A154" s="11">
        <f t="shared" si="28"/>
        <v>3</v>
      </c>
      <c r="B154" s="11">
        <f t="shared" si="28"/>
        <v>6500</v>
      </c>
      <c r="C154" s="6"/>
      <c r="D154" s="18"/>
      <c r="E154" s="19"/>
      <c r="F154" s="19"/>
      <c r="G154" s="19"/>
      <c r="I154" s="6"/>
      <c r="J154" s="22" t="s">
        <v>48</v>
      </c>
      <c r="K154" s="23">
        <f>SUM(G158:G163)</f>
        <v>4857500</v>
      </c>
      <c r="L154" s="6"/>
      <c r="M154" s="6"/>
      <c r="N154" s="6"/>
      <c r="O154" s="6"/>
    </row>
    <row r="155" spans="1:15" ht="22" customHeight="1" x14ac:dyDescent="0.35">
      <c r="A155" s="11">
        <f t="shared" si="28"/>
        <v>4</v>
      </c>
      <c r="B155" s="11">
        <f t="shared" si="28"/>
        <v>6800</v>
      </c>
      <c r="C155" s="6"/>
      <c r="D155" s="18"/>
      <c r="E155" s="19"/>
      <c r="F155" s="19"/>
      <c r="G155" s="19"/>
      <c r="I155" s="6"/>
      <c r="L155" s="6"/>
      <c r="M155" s="6"/>
      <c r="N155" s="6"/>
      <c r="O155" s="6"/>
    </row>
    <row r="156" spans="1:15" ht="22" customHeight="1" x14ac:dyDescent="0.35">
      <c r="A156" s="11">
        <f t="shared" si="28"/>
        <v>5</v>
      </c>
      <c r="B156" s="11">
        <f t="shared" si="28"/>
        <v>7200</v>
      </c>
      <c r="C156" s="6"/>
      <c r="D156" s="18"/>
      <c r="E156" s="19"/>
      <c r="F156" s="19"/>
      <c r="G156" s="19"/>
      <c r="I156" s="6"/>
      <c r="J156" s="25"/>
      <c r="K156" s="6"/>
      <c r="L156" s="6"/>
      <c r="M156" s="6"/>
      <c r="N156" s="6"/>
      <c r="O156" s="6"/>
    </row>
    <row r="157" spans="1:15" ht="28" customHeight="1" x14ac:dyDescent="0.35">
      <c r="A157" s="11">
        <f t="shared" si="28"/>
        <v>6</v>
      </c>
      <c r="B157" s="11">
        <f t="shared" si="28"/>
        <v>7600</v>
      </c>
      <c r="C157" s="6"/>
      <c r="D157" s="18"/>
      <c r="E157" s="19"/>
      <c r="F157" s="19"/>
      <c r="G157" s="19"/>
      <c r="I157" s="6"/>
      <c r="J157" s="54" t="s">
        <v>50</v>
      </c>
      <c r="K157" s="27">
        <f>K153/K152</f>
        <v>791.66666666666663</v>
      </c>
      <c r="L157" s="6"/>
      <c r="M157" s="6"/>
      <c r="N157" s="6"/>
      <c r="O157" s="6"/>
    </row>
    <row r="158" spans="1:15" ht="28" customHeight="1" x14ac:dyDescent="0.35">
      <c r="A158" s="11">
        <f t="shared" si="28"/>
        <v>7</v>
      </c>
      <c r="B158" s="11">
        <f t="shared" si="28"/>
        <v>8200</v>
      </c>
      <c r="C158" s="6"/>
      <c r="D158" s="28">
        <f t="shared" ref="D158:D163" si="29">INDEX(D230:H230,1,MATCH($J$149,$D$228:$H$228,0))</f>
        <v>7400</v>
      </c>
      <c r="E158" s="29">
        <f t="shared" ref="E158:E163" si="30">B158-D158</f>
        <v>800</v>
      </c>
      <c r="F158" s="29">
        <f t="shared" ref="F158:F163" si="31">ABS(E158)</f>
        <v>800</v>
      </c>
      <c r="G158" s="29">
        <f t="shared" ref="G158:G163" si="32">E158^2</f>
        <v>640000</v>
      </c>
      <c r="I158" s="6"/>
      <c r="J158" s="54" t="s">
        <v>51</v>
      </c>
      <c r="K158" s="27">
        <f>K154/K152</f>
        <v>809583.33333333337</v>
      </c>
      <c r="L158" s="6"/>
      <c r="M158" s="6"/>
      <c r="N158" s="6"/>
      <c r="O158" s="6"/>
    </row>
    <row r="159" spans="1:15" ht="28" customHeight="1" x14ac:dyDescent="0.35">
      <c r="A159" s="11">
        <f t="shared" si="28"/>
        <v>8</v>
      </c>
      <c r="B159" s="11">
        <f t="shared" si="28"/>
        <v>8000</v>
      </c>
      <c r="C159" s="6"/>
      <c r="D159" s="28">
        <f t="shared" si="29"/>
        <v>7900</v>
      </c>
      <c r="E159" s="29">
        <f t="shared" si="30"/>
        <v>100</v>
      </c>
      <c r="F159" s="29">
        <f t="shared" si="31"/>
        <v>100</v>
      </c>
      <c r="G159" s="29">
        <f t="shared" si="32"/>
        <v>10000</v>
      </c>
      <c r="I159" s="6"/>
      <c r="L159" s="6"/>
      <c r="M159" s="6"/>
      <c r="N159" s="6"/>
      <c r="O159" s="6"/>
    </row>
    <row r="160" spans="1:15" ht="22" customHeight="1" x14ac:dyDescent="0.35">
      <c r="A160" s="11">
        <f t="shared" si="28"/>
        <v>9</v>
      </c>
      <c r="B160" s="11">
        <f t="shared" si="28"/>
        <v>7500</v>
      </c>
      <c r="C160" s="6"/>
      <c r="D160" s="28">
        <f t="shared" si="29"/>
        <v>8100</v>
      </c>
      <c r="E160" s="29">
        <f t="shared" si="30"/>
        <v>-600</v>
      </c>
      <c r="F160" s="29">
        <f t="shared" si="31"/>
        <v>600</v>
      </c>
      <c r="G160" s="29">
        <f t="shared" si="32"/>
        <v>360000</v>
      </c>
      <c r="I160" s="6"/>
      <c r="J160" s="6"/>
      <c r="K160" s="6"/>
      <c r="L160" s="6"/>
      <c r="M160" s="6"/>
      <c r="N160" s="6"/>
      <c r="O160" s="6"/>
    </row>
    <row r="161" spans="1:15" ht="22" customHeight="1" x14ac:dyDescent="0.35">
      <c r="A161" s="11">
        <f t="shared" si="28"/>
        <v>10</v>
      </c>
      <c r="B161" s="11">
        <f t="shared" si="28"/>
        <v>8400</v>
      </c>
      <c r="C161" s="6"/>
      <c r="D161" s="28">
        <f t="shared" si="29"/>
        <v>7750</v>
      </c>
      <c r="E161" s="29">
        <f t="shared" si="30"/>
        <v>650</v>
      </c>
      <c r="F161" s="29">
        <f t="shared" si="31"/>
        <v>650</v>
      </c>
      <c r="G161" s="29">
        <f t="shared" si="32"/>
        <v>422500</v>
      </c>
      <c r="I161" s="6"/>
      <c r="J161" s="6"/>
      <c r="K161" s="6"/>
      <c r="L161" s="6"/>
      <c r="M161" s="6"/>
      <c r="N161" s="6"/>
      <c r="O161" s="6"/>
    </row>
    <row r="162" spans="1:15" ht="22" customHeight="1" x14ac:dyDescent="0.35">
      <c r="A162" s="11">
        <f t="shared" si="28"/>
        <v>11</v>
      </c>
      <c r="B162" s="11">
        <f t="shared" si="28"/>
        <v>9100</v>
      </c>
      <c r="C162" s="6"/>
      <c r="D162" s="28">
        <f t="shared" si="29"/>
        <v>7950</v>
      </c>
      <c r="E162" s="29">
        <f t="shared" si="30"/>
        <v>1150</v>
      </c>
      <c r="F162" s="29">
        <f t="shared" si="31"/>
        <v>1150</v>
      </c>
      <c r="G162" s="29">
        <f t="shared" si="32"/>
        <v>1322500</v>
      </c>
      <c r="I162" s="6"/>
      <c r="J162" s="6"/>
      <c r="K162" s="6"/>
      <c r="L162" s="6"/>
      <c r="M162" s="6"/>
      <c r="N162" s="6"/>
      <c r="O162" s="6"/>
    </row>
    <row r="163" spans="1:15" ht="22" customHeight="1" x14ac:dyDescent="0.35">
      <c r="A163" s="11">
        <f t="shared" si="28"/>
        <v>12</v>
      </c>
      <c r="B163" s="11">
        <f t="shared" si="28"/>
        <v>10200</v>
      </c>
      <c r="C163" s="6"/>
      <c r="D163" s="28">
        <f t="shared" si="29"/>
        <v>8750</v>
      </c>
      <c r="E163" s="29">
        <f t="shared" si="30"/>
        <v>1450</v>
      </c>
      <c r="F163" s="29">
        <f t="shared" si="31"/>
        <v>1450</v>
      </c>
      <c r="G163" s="29">
        <f t="shared" si="32"/>
        <v>2102500</v>
      </c>
      <c r="I163" s="6"/>
      <c r="J163" s="6"/>
      <c r="K163" s="6"/>
      <c r="L163" s="6"/>
      <c r="M163" s="6"/>
      <c r="N163" s="6"/>
      <c r="O163" s="6"/>
    </row>
    <row r="164" spans="1:15" ht="22" customHeigh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22" customHeigh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32" customHeight="1" x14ac:dyDescent="0.35">
      <c r="A166" s="58" t="s">
        <v>53</v>
      </c>
      <c r="B166" s="6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22" customHeigh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38" customHeight="1" x14ac:dyDescent="0.35">
      <c r="A168" s="15" t="s">
        <v>36</v>
      </c>
      <c r="B168" s="16" t="s">
        <v>40</v>
      </c>
      <c r="C168" s="6"/>
      <c r="D168" s="32" t="s">
        <v>41</v>
      </c>
      <c r="E168" s="16" t="s">
        <v>42</v>
      </c>
      <c r="F168" s="16" t="s">
        <v>43</v>
      </c>
      <c r="G168" s="16" t="s">
        <v>44</v>
      </c>
      <c r="I168" s="6"/>
      <c r="J168" s="6"/>
      <c r="K168" s="6"/>
      <c r="L168" s="6"/>
      <c r="M168" s="6"/>
      <c r="N168" s="6"/>
      <c r="O168" s="6"/>
    </row>
    <row r="169" spans="1:15" ht="22" customHeight="1" x14ac:dyDescent="0.35">
      <c r="A169" s="11">
        <f t="shared" ref="A169:B180" si="34">A135</f>
        <v>1</v>
      </c>
      <c r="B169" s="11">
        <f t="shared" si="34"/>
        <v>6000</v>
      </c>
      <c r="C169" s="6"/>
      <c r="D169" s="18"/>
      <c r="E169" s="19"/>
      <c r="F169" s="19"/>
      <c r="G169" s="19"/>
      <c r="I169" s="6"/>
      <c r="J169" s="20" t="s">
        <v>46</v>
      </c>
      <c r="K169" s="33">
        <f>COUNT(E175:E180)</f>
        <v>6</v>
      </c>
      <c r="L169" s="6"/>
      <c r="M169" s="6"/>
      <c r="N169" s="6"/>
      <c r="O169" s="6"/>
    </row>
    <row r="170" spans="1:15" ht="22" customHeight="1" x14ac:dyDescent="0.35">
      <c r="A170" s="11">
        <f t="shared" si="34"/>
        <v>2</v>
      </c>
      <c r="B170" s="11">
        <f t="shared" si="34"/>
        <v>5800</v>
      </c>
      <c r="C170" s="6"/>
      <c r="D170" s="18"/>
      <c r="E170" s="19"/>
      <c r="F170" s="19"/>
      <c r="G170" s="19"/>
      <c r="I170" s="6"/>
      <c r="J170" s="22" t="s">
        <v>47</v>
      </c>
      <c r="K170" s="33">
        <f>SUM(F175:F180)</f>
        <v>3344.2640692640689</v>
      </c>
      <c r="L170" s="6"/>
      <c r="M170" s="6"/>
      <c r="N170" s="6"/>
      <c r="O170" s="6"/>
    </row>
    <row r="171" spans="1:15" ht="22" customHeight="1" x14ac:dyDescent="0.35">
      <c r="A171" s="11">
        <f t="shared" si="34"/>
        <v>3</v>
      </c>
      <c r="B171" s="11">
        <f t="shared" si="34"/>
        <v>6500</v>
      </c>
      <c r="C171" s="6"/>
      <c r="D171" s="18"/>
      <c r="E171" s="19"/>
      <c r="F171" s="19"/>
      <c r="G171" s="19"/>
      <c r="I171" s="6"/>
      <c r="J171" s="22" t="s">
        <v>48</v>
      </c>
      <c r="K171" s="33">
        <f>SUM(G175:G180)</f>
        <v>2775581.2002211306</v>
      </c>
      <c r="L171" s="6"/>
      <c r="M171" s="6"/>
      <c r="N171" s="6"/>
      <c r="O171" s="6"/>
    </row>
    <row r="172" spans="1:15" ht="22" customHeight="1" x14ac:dyDescent="0.35">
      <c r="A172" s="11">
        <f t="shared" si="34"/>
        <v>4</v>
      </c>
      <c r="B172" s="11">
        <f t="shared" si="34"/>
        <v>6800</v>
      </c>
      <c r="C172" s="6"/>
      <c r="D172" s="18"/>
      <c r="E172" s="19"/>
      <c r="F172" s="19"/>
      <c r="G172" s="19"/>
      <c r="I172" s="6"/>
      <c r="L172" s="6"/>
      <c r="M172" s="6"/>
      <c r="N172" s="6"/>
      <c r="O172" s="6"/>
    </row>
    <row r="173" spans="1:15" ht="22" customHeight="1" x14ac:dyDescent="0.35">
      <c r="A173" s="11">
        <f t="shared" si="34"/>
        <v>5</v>
      </c>
      <c r="B173" s="11">
        <f t="shared" si="34"/>
        <v>7200</v>
      </c>
      <c r="C173" s="6"/>
      <c r="D173" s="18"/>
      <c r="E173" s="19"/>
      <c r="F173" s="19"/>
      <c r="G173" s="19"/>
      <c r="I173" s="6"/>
      <c r="J173" s="25"/>
      <c r="K173" s="6"/>
      <c r="L173" s="6"/>
      <c r="M173" s="6"/>
      <c r="N173" s="6"/>
      <c r="O173" s="6"/>
    </row>
    <row r="174" spans="1:15" ht="28" customHeight="1" x14ac:dyDescent="0.35">
      <c r="A174" s="11">
        <f t="shared" si="34"/>
        <v>6</v>
      </c>
      <c r="B174" s="11">
        <f t="shared" si="34"/>
        <v>7600</v>
      </c>
      <c r="C174" s="6"/>
      <c r="D174" s="18"/>
      <c r="E174" s="19"/>
      <c r="F174" s="19"/>
      <c r="G174" s="19"/>
      <c r="I174" s="6"/>
      <c r="J174" s="54" t="s">
        <v>50</v>
      </c>
      <c r="K174" s="27">
        <f>K170/K169</f>
        <v>557.37734487734485</v>
      </c>
      <c r="L174" s="6"/>
      <c r="M174" s="6"/>
      <c r="N174" s="6"/>
      <c r="O174" s="6"/>
    </row>
    <row r="175" spans="1:15" ht="28" customHeight="1" x14ac:dyDescent="0.35">
      <c r="A175" s="11">
        <f t="shared" si="34"/>
        <v>7</v>
      </c>
      <c r="B175" s="11">
        <f t="shared" si="34"/>
        <v>8200</v>
      </c>
      <c r="C175" s="6"/>
      <c r="D175" s="34">
        <f>INTERCEPT($B$184:B189,$A$184:A189)+SLOPE($B$184:B189,$A$184:A189)*A175</f>
        <v>7900</v>
      </c>
      <c r="E175" s="29">
        <f t="shared" ref="E175:E180" si="35">B175-D175</f>
        <v>300</v>
      </c>
      <c r="F175" s="29">
        <f t="shared" ref="F175:F180" si="36">ABS(E175)</f>
        <v>300</v>
      </c>
      <c r="G175" s="29">
        <f t="shared" ref="G175:G180" si="37">E175^2</f>
        <v>90000</v>
      </c>
      <c r="I175" s="6"/>
      <c r="J175" s="54" t="s">
        <v>51</v>
      </c>
      <c r="K175" s="35">
        <f>K171/K169</f>
        <v>462596.86670352175</v>
      </c>
      <c r="L175" s="6"/>
      <c r="M175" s="6"/>
      <c r="N175" s="6"/>
      <c r="O175" s="6"/>
    </row>
    <row r="176" spans="1:15" ht="28" customHeight="1" x14ac:dyDescent="0.35">
      <c r="A176" s="11">
        <f t="shared" si="34"/>
        <v>8</v>
      </c>
      <c r="B176" s="11">
        <f t="shared" si="34"/>
        <v>8000</v>
      </c>
      <c r="C176" s="6"/>
      <c r="D176" s="34">
        <f>INTERCEPT($B$184:B190,$A$184:A190)+SLOPE($B$184:B190,$A$184:A190)*A176</f>
        <v>8428.5714285714294</v>
      </c>
      <c r="E176" s="29">
        <f t="shared" si="35"/>
        <v>-428.57142857142935</v>
      </c>
      <c r="F176" s="29">
        <f t="shared" si="36"/>
        <v>428.57142857142935</v>
      </c>
      <c r="G176" s="29">
        <f t="shared" si="37"/>
        <v>183673.46938775576</v>
      </c>
      <c r="I176" s="6"/>
      <c r="L176" s="6"/>
      <c r="M176" s="6"/>
      <c r="N176" s="6"/>
      <c r="O176" s="6"/>
    </row>
    <row r="177" spans="1:15" ht="22" customHeight="1" x14ac:dyDescent="0.35">
      <c r="A177" s="11">
        <f t="shared" si="34"/>
        <v>9</v>
      </c>
      <c r="B177" s="11">
        <f t="shared" si="34"/>
        <v>7500</v>
      </c>
      <c r="C177" s="6"/>
      <c r="D177" s="34">
        <f>INTERCEPT($B$184:B191,$A$184:A191)+SLOPE($B$184:B191,$A$184:A191)*A177</f>
        <v>8603.5714285714275</v>
      </c>
      <c r="E177" s="29">
        <f t="shared" si="35"/>
        <v>-1103.5714285714275</v>
      </c>
      <c r="F177" s="29">
        <f t="shared" si="36"/>
        <v>1103.5714285714275</v>
      </c>
      <c r="G177" s="29">
        <f t="shared" si="37"/>
        <v>1217869.8979591813</v>
      </c>
      <c r="I177" s="6"/>
      <c r="J177" s="6"/>
      <c r="K177" s="6"/>
      <c r="L177" s="6"/>
      <c r="M177" s="6"/>
      <c r="N177" s="6"/>
      <c r="O177" s="6"/>
    </row>
    <row r="178" spans="1:15" ht="22" customHeight="1" x14ac:dyDescent="0.35">
      <c r="A178" s="11">
        <f t="shared" si="34"/>
        <v>10</v>
      </c>
      <c r="B178" s="11">
        <f t="shared" si="34"/>
        <v>8400</v>
      </c>
      <c r="C178" s="6"/>
      <c r="D178" s="34">
        <f>INTERCEPT($B$184:B192,$A$184:A192)+SLOPE($B$184:B192,$A$184:A192)*A178</f>
        <v>8466.6666666666679</v>
      </c>
      <c r="E178" s="29">
        <f t="shared" si="35"/>
        <v>-66.666666666667879</v>
      </c>
      <c r="F178" s="29">
        <f t="shared" si="36"/>
        <v>66.666666666667879</v>
      </c>
      <c r="G178" s="29">
        <f t="shared" si="37"/>
        <v>4444.4444444446062</v>
      </c>
      <c r="I178" s="6"/>
      <c r="J178" s="6"/>
      <c r="K178" s="6"/>
      <c r="L178" s="6"/>
      <c r="M178" s="6"/>
      <c r="N178" s="6"/>
      <c r="O178" s="6"/>
    </row>
    <row r="179" spans="1:15" ht="22" customHeight="1" x14ac:dyDescent="0.35">
      <c r="A179" s="11">
        <f t="shared" si="34"/>
        <v>11</v>
      </c>
      <c r="B179" s="11">
        <f t="shared" si="34"/>
        <v>9100</v>
      </c>
      <c r="C179" s="6"/>
      <c r="D179" s="34">
        <f>INTERCEPT($B$184:B193,$A$184:A193)+SLOPE($B$184:B193,$A$184:A193)*A179</f>
        <v>8720</v>
      </c>
      <c r="E179" s="29">
        <f t="shared" si="35"/>
        <v>380</v>
      </c>
      <c r="F179" s="29">
        <f t="shared" si="36"/>
        <v>380</v>
      </c>
      <c r="G179" s="29">
        <f t="shared" si="37"/>
        <v>144400</v>
      </c>
      <c r="I179" s="6"/>
      <c r="J179" s="6"/>
      <c r="K179" s="6"/>
      <c r="L179" s="6"/>
      <c r="M179" s="6"/>
      <c r="N179" s="6"/>
      <c r="O179" s="6"/>
    </row>
    <row r="180" spans="1:15" ht="22" customHeight="1" x14ac:dyDescent="0.35">
      <c r="A180" s="11">
        <f t="shared" si="34"/>
        <v>12</v>
      </c>
      <c r="B180" s="11">
        <f t="shared" si="34"/>
        <v>10200</v>
      </c>
      <c r="C180" s="6"/>
      <c r="D180" s="34">
        <f>INTERCEPT($B$184:B194,$A$184:A194)+SLOPE($B$184:B194,$A$184:A194)*A180</f>
        <v>9134.5454545454559</v>
      </c>
      <c r="E180" s="29">
        <f t="shared" si="35"/>
        <v>1065.4545454545441</v>
      </c>
      <c r="F180" s="29">
        <f t="shared" si="36"/>
        <v>1065.4545454545441</v>
      </c>
      <c r="G180" s="29">
        <f t="shared" si="37"/>
        <v>1135193.3884297493</v>
      </c>
      <c r="I180" s="6"/>
      <c r="J180" s="6"/>
      <c r="K180" s="6"/>
      <c r="L180" s="6"/>
      <c r="M180" s="6"/>
      <c r="N180" s="6"/>
      <c r="O180" s="6"/>
    </row>
    <row r="181" spans="1:15" ht="22" customHeight="1" x14ac:dyDescent="0.35">
      <c r="A181" s="12"/>
      <c r="B181" s="12"/>
      <c r="C181" s="6"/>
      <c r="D181" s="12"/>
      <c r="E181" s="12"/>
      <c r="F181" s="12"/>
      <c r="G181" s="12"/>
      <c r="H181" s="14"/>
      <c r="I181" s="6"/>
      <c r="J181" s="6"/>
      <c r="K181" s="6"/>
      <c r="L181" s="6"/>
      <c r="M181" s="6"/>
      <c r="N181" s="6"/>
      <c r="O181" s="6"/>
    </row>
    <row r="182" spans="1:15" ht="22" customHeigh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38" customHeight="1" x14ac:dyDescent="0.35">
      <c r="A183" s="36" t="s">
        <v>36</v>
      </c>
      <c r="B183" s="36" t="s">
        <v>40</v>
      </c>
      <c r="C183" s="36" t="s">
        <v>54</v>
      </c>
      <c r="D183" s="36" t="s">
        <v>55</v>
      </c>
      <c r="E183" s="37"/>
      <c r="F183" s="37"/>
      <c r="G183" s="6"/>
      <c r="H183" s="6"/>
      <c r="I183" s="6"/>
    </row>
    <row r="184" spans="1:15" ht="22" customHeight="1" x14ac:dyDescent="0.35">
      <c r="A184" s="11">
        <f t="shared" ref="A184:B195" si="39">A135</f>
        <v>1</v>
      </c>
      <c r="B184" s="11">
        <f t="shared" si="39"/>
        <v>6000</v>
      </c>
      <c r="C184" s="40">
        <f t="shared" ref="C184:C195" si="40">A184*B184</f>
        <v>6000</v>
      </c>
      <c r="D184" s="40">
        <f t="shared" ref="D184:D195" si="41">A184^2</f>
        <v>1</v>
      </c>
      <c r="E184" s="37"/>
      <c r="F184" s="37"/>
      <c r="G184" s="6"/>
      <c r="H184" s="6"/>
      <c r="I184" s="6"/>
    </row>
    <row r="185" spans="1:15" ht="22" customHeight="1" x14ac:dyDescent="0.35">
      <c r="A185" s="11">
        <f t="shared" si="39"/>
        <v>2</v>
      </c>
      <c r="B185" s="11">
        <f t="shared" si="39"/>
        <v>5800</v>
      </c>
      <c r="C185" s="40">
        <f t="shared" si="40"/>
        <v>11600</v>
      </c>
      <c r="D185" s="40">
        <f t="shared" si="41"/>
        <v>4</v>
      </c>
      <c r="E185" s="37"/>
      <c r="F185" s="37"/>
      <c r="G185" s="6"/>
      <c r="H185" s="6"/>
      <c r="I185" s="6"/>
    </row>
    <row r="186" spans="1:15" ht="22" customHeight="1" x14ac:dyDescent="0.35">
      <c r="A186" s="11">
        <f t="shared" si="39"/>
        <v>3</v>
      </c>
      <c r="B186" s="11">
        <f t="shared" si="39"/>
        <v>6500</v>
      </c>
      <c r="C186" s="40">
        <f t="shared" si="40"/>
        <v>19500</v>
      </c>
      <c r="D186" s="40">
        <f t="shared" si="41"/>
        <v>9</v>
      </c>
      <c r="E186" s="37"/>
      <c r="F186" s="37"/>
      <c r="G186" s="6"/>
      <c r="H186" s="6"/>
      <c r="I186" s="6"/>
    </row>
    <row r="187" spans="1:15" ht="22" customHeight="1" x14ac:dyDescent="0.35">
      <c r="A187" s="11">
        <f t="shared" si="39"/>
        <v>4</v>
      </c>
      <c r="B187" s="11">
        <f t="shared" si="39"/>
        <v>6800</v>
      </c>
      <c r="C187" s="40">
        <f t="shared" si="40"/>
        <v>27200</v>
      </c>
      <c r="D187" s="40">
        <f t="shared" si="41"/>
        <v>16</v>
      </c>
      <c r="E187" s="37"/>
      <c r="F187" s="37"/>
      <c r="G187" s="6"/>
      <c r="H187" s="6"/>
      <c r="I187" s="6"/>
    </row>
    <row r="188" spans="1:15" ht="22" customHeight="1" x14ac:dyDescent="0.35">
      <c r="A188" s="11">
        <f t="shared" si="39"/>
        <v>5</v>
      </c>
      <c r="B188" s="11">
        <f t="shared" si="39"/>
        <v>7200</v>
      </c>
      <c r="C188" s="40">
        <f t="shared" si="40"/>
        <v>36000</v>
      </c>
      <c r="D188" s="40">
        <f t="shared" si="41"/>
        <v>25</v>
      </c>
      <c r="E188" s="37"/>
      <c r="F188" s="37"/>
      <c r="G188" s="6"/>
      <c r="H188" s="6"/>
      <c r="I188" s="6"/>
    </row>
    <row r="189" spans="1:15" ht="22" customHeight="1" x14ac:dyDescent="0.35">
      <c r="A189" s="11">
        <f t="shared" si="39"/>
        <v>6</v>
      </c>
      <c r="B189" s="11">
        <f t="shared" si="39"/>
        <v>7600</v>
      </c>
      <c r="C189" s="40">
        <f t="shared" si="40"/>
        <v>45600</v>
      </c>
      <c r="D189" s="40">
        <f t="shared" si="41"/>
        <v>36</v>
      </c>
      <c r="E189" s="37"/>
      <c r="F189" s="37"/>
      <c r="G189" s="6"/>
      <c r="H189" s="6"/>
      <c r="I189" s="6"/>
    </row>
    <row r="190" spans="1:15" ht="22" customHeight="1" x14ac:dyDescent="0.35">
      <c r="A190" s="11">
        <f t="shared" si="39"/>
        <v>7</v>
      </c>
      <c r="B190" s="11">
        <f t="shared" si="39"/>
        <v>8200</v>
      </c>
      <c r="C190" s="40">
        <f t="shared" si="40"/>
        <v>57400</v>
      </c>
      <c r="D190" s="40">
        <f t="shared" si="41"/>
        <v>49</v>
      </c>
      <c r="E190" s="6"/>
      <c r="F190" s="37"/>
      <c r="G190" s="6"/>
      <c r="H190" s="6"/>
      <c r="I190" s="6"/>
    </row>
    <row r="191" spans="1:15" ht="22" customHeight="1" x14ac:dyDescent="0.35">
      <c r="A191" s="11">
        <f t="shared" si="39"/>
        <v>8</v>
      </c>
      <c r="B191" s="11">
        <f t="shared" si="39"/>
        <v>8000</v>
      </c>
      <c r="C191" s="40">
        <f t="shared" si="40"/>
        <v>64000</v>
      </c>
      <c r="D191" s="40">
        <f t="shared" si="41"/>
        <v>64</v>
      </c>
      <c r="E191" s="6"/>
      <c r="F191" s="37"/>
      <c r="G191" s="6"/>
      <c r="H191" s="6"/>
      <c r="I191" s="6"/>
    </row>
    <row r="192" spans="1:15" ht="22" customHeight="1" x14ac:dyDescent="0.35">
      <c r="A192" s="11">
        <f t="shared" si="39"/>
        <v>9</v>
      </c>
      <c r="B192" s="11">
        <f t="shared" si="39"/>
        <v>7500</v>
      </c>
      <c r="C192" s="40">
        <f t="shared" si="40"/>
        <v>67500</v>
      </c>
      <c r="D192" s="40">
        <f t="shared" si="41"/>
        <v>81</v>
      </c>
      <c r="E192" s="6"/>
      <c r="F192" s="37"/>
      <c r="G192" s="6"/>
      <c r="H192" s="6"/>
      <c r="I192" s="6"/>
    </row>
    <row r="193" spans="1:15" ht="22" customHeight="1" x14ac:dyDescent="0.35">
      <c r="A193" s="11">
        <f t="shared" si="39"/>
        <v>10</v>
      </c>
      <c r="B193" s="11">
        <f t="shared" si="39"/>
        <v>8400</v>
      </c>
      <c r="C193" s="40">
        <f t="shared" si="40"/>
        <v>84000</v>
      </c>
      <c r="D193" s="40">
        <f t="shared" si="41"/>
        <v>100</v>
      </c>
      <c r="E193" s="6"/>
      <c r="F193" s="37"/>
      <c r="G193" s="6"/>
      <c r="H193" s="6"/>
      <c r="I193" s="6"/>
    </row>
    <row r="194" spans="1:15" ht="22" customHeight="1" x14ac:dyDescent="0.35">
      <c r="A194" s="11">
        <f t="shared" si="39"/>
        <v>11</v>
      </c>
      <c r="B194" s="11">
        <f t="shared" si="39"/>
        <v>9100</v>
      </c>
      <c r="C194" s="40">
        <f t="shared" si="40"/>
        <v>100100</v>
      </c>
      <c r="D194" s="40">
        <f t="shared" si="41"/>
        <v>121</v>
      </c>
      <c r="E194" s="6"/>
      <c r="F194" s="37"/>
      <c r="G194" s="6"/>
      <c r="H194" s="6"/>
      <c r="I194" s="6"/>
    </row>
    <row r="195" spans="1:15" ht="22" customHeight="1" x14ac:dyDescent="0.35">
      <c r="A195" s="11">
        <f t="shared" si="39"/>
        <v>12</v>
      </c>
      <c r="B195" s="11">
        <f t="shared" si="39"/>
        <v>10200</v>
      </c>
      <c r="C195" s="40">
        <f t="shared" si="40"/>
        <v>122400</v>
      </c>
      <c r="D195" s="40">
        <f t="shared" si="41"/>
        <v>144</v>
      </c>
      <c r="E195" s="6"/>
      <c r="F195" s="37"/>
      <c r="G195" s="6"/>
      <c r="H195" s="6"/>
      <c r="I195" s="6"/>
    </row>
    <row r="196" spans="1:15" ht="22" customHeight="1" x14ac:dyDescent="0.35">
      <c r="A196" s="6"/>
      <c r="B196" s="6"/>
      <c r="C196" s="6"/>
      <c r="D196" s="6"/>
      <c r="E196" s="6"/>
      <c r="F196" s="37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22" customHeight="1" x14ac:dyDescent="0.35">
      <c r="A197" s="6"/>
      <c r="B197" s="6"/>
      <c r="C197" s="6"/>
      <c r="D197" s="6"/>
      <c r="E197" s="6"/>
      <c r="F197" s="37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22" customHeight="1" x14ac:dyDescent="0.35">
      <c r="A198" s="26" t="s">
        <v>46</v>
      </c>
      <c r="B198" s="33">
        <f>COUNT(A184:A195)</f>
        <v>12</v>
      </c>
      <c r="C198" s="37"/>
      <c r="D198" s="44" t="s">
        <v>59</v>
      </c>
      <c r="E198" s="45">
        <f>(B198*B201-B199*B200)/(B198*B202-B203)</f>
        <v>334.61538461538464</v>
      </c>
      <c r="F198" s="37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22" customHeight="1" x14ac:dyDescent="0.35">
      <c r="A199" s="46" t="s">
        <v>60</v>
      </c>
      <c r="B199" s="33">
        <f>SUM(A184:A195)</f>
        <v>78</v>
      </c>
      <c r="C199" s="37"/>
      <c r="D199" s="47" t="s">
        <v>61</v>
      </c>
      <c r="E199" s="48">
        <f>(B200-E198*B199)/B198</f>
        <v>5433.333333333333</v>
      </c>
      <c r="F199" s="37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22" customHeight="1" x14ac:dyDescent="0.35">
      <c r="A200" s="46" t="s">
        <v>62</v>
      </c>
      <c r="B200" s="33">
        <f>SUM(B184:B195)</f>
        <v>91300</v>
      </c>
      <c r="C200" s="37"/>
      <c r="D200" s="37"/>
      <c r="E200" s="37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22" customHeight="1" x14ac:dyDescent="0.35">
      <c r="A201" s="46" t="s">
        <v>63</v>
      </c>
      <c r="B201" s="33">
        <f>SUM(C184:C195)</f>
        <v>641300</v>
      </c>
      <c r="C201" s="37"/>
      <c r="D201" s="37"/>
      <c r="E201" s="37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22" customHeight="1" x14ac:dyDescent="0.35">
      <c r="A202" s="46" t="s">
        <v>64</v>
      </c>
      <c r="B202" s="33">
        <f>SUM(D184:D195)</f>
        <v>650</v>
      </c>
      <c r="C202" s="37"/>
      <c r="D202" s="37"/>
      <c r="E202" s="37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22" customHeight="1" x14ac:dyDescent="0.35">
      <c r="A203" s="46" t="s">
        <v>65</v>
      </c>
      <c r="B203" s="33">
        <f>B199^2</f>
        <v>6084</v>
      </c>
      <c r="C203" s="37"/>
      <c r="D203" s="37"/>
      <c r="E203" s="37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22" customHeigh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32" customHeight="1" x14ac:dyDescent="0.35">
      <c r="A205" s="62" t="s">
        <v>66</v>
      </c>
      <c r="B205" s="63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22" customHeight="1" x14ac:dyDescent="0.35">
      <c r="A206" s="6"/>
      <c r="B206" s="6"/>
      <c r="C206" s="6"/>
      <c r="D206" s="6"/>
      <c r="E206" s="6"/>
      <c r="F206" s="6"/>
      <c r="G206" s="6"/>
      <c r="H206" s="49"/>
      <c r="I206" s="6"/>
      <c r="J206" s="6"/>
      <c r="K206" s="6"/>
      <c r="L206" s="6"/>
      <c r="M206" s="6"/>
      <c r="N206" s="6"/>
      <c r="O206" s="6"/>
    </row>
    <row r="207" spans="1:15" ht="48" customHeight="1" x14ac:dyDescent="0.35">
      <c r="A207" s="6"/>
      <c r="B207" s="6"/>
      <c r="C207" s="55"/>
      <c r="D207" s="56" t="s">
        <v>67</v>
      </c>
      <c r="E207" s="56" t="s">
        <v>68</v>
      </c>
      <c r="F207" s="68" t="s">
        <v>69</v>
      </c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22" customHeight="1" x14ac:dyDescent="0.35">
      <c r="A208" s="6"/>
      <c r="B208" s="6"/>
      <c r="C208" s="50" t="s">
        <v>50</v>
      </c>
      <c r="D208" s="51">
        <f>K157</f>
        <v>791.66666666666663</v>
      </c>
      <c r="E208" s="51">
        <f>K174</f>
        <v>557.37734487734485</v>
      </c>
      <c r="F208" s="67">
        <f>AVERAGE(M230:M235)</f>
        <v>350</v>
      </c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22" customHeight="1" x14ac:dyDescent="0.35">
      <c r="A209" s="6"/>
      <c r="B209" s="6"/>
      <c r="C209" s="50" t="s">
        <v>51</v>
      </c>
      <c r="D209" s="51">
        <f>K158</f>
        <v>809583.33333333337</v>
      </c>
      <c r="E209" s="51">
        <f>K175</f>
        <v>462596.86670352175</v>
      </c>
      <c r="F209" s="67">
        <f>AVERAGE(N230:N235)</f>
        <v>128333.33333333333</v>
      </c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22" customHeight="1" x14ac:dyDescent="0.35">
      <c r="A210" s="6"/>
      <c r="B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5.5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5.5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34" customHeight="1" x14ac:dyDescent="0.35">
      <c r="A213" s="57" t="s">
        <v>70</v>
      </c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</row>
    <row r="214" spans="1:15" ht="15.5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48" customHeight="1" x14ac:dyDescent="0.35">
      <c r="A215" s="68" t="s">
        <v>36</v>
      </c>
      <c r="B215" s="68" t="s">
        <v>0</v>
      </c>
      <c r="C215" s="68" t="s">
        <v>67</v>
      </c>
      <c r="D215" s="68" t="s">
        <v>68</v>
      </c>
      <c r="E215" s="68" t="s">
        <v>71</v>
      </c>
      <c r="F215" s="68" t="s">
        <v>72</v>
      </c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5.5" x14ac:dyDescent="0.35">
      <c r="A216" s="69">
        <v>13</v>
      </c>
      <c r="B216" s="69" t="s">
        <v>73</v>
      </c>
      <c r="C216" s="67">
        <f>CHOOSE($J$149-1,AVERAGE(B145:B146),AVERAGE(B144:B146),AVERAGE(B143:B146),AVERAGE(B142:B146),AVERAGE(B141:B146))</f>
        <v>9650</v>
      </c>
      <c r="D216" s="67">
        <f t="shared" ref="D216:D221" si="42">$E$199+$E$198*A216</f>
        <v>9783.3333333333321</v>
      </c>
      <c r="E216" s="70">
        <f t="shared" ref="E216:E221" si="43">ROUND(D216,0)</f>
        <v>9783</v>
      </c>
      <c r="F216" s="69" t="s">
        <v>68</v>
      </c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5.5" x14ac:dyDescent="0.35">
      <c r="A217" s="69">
        <v>14</v>
      </c>
      <c r="B217" s="69" t="s">
        <v>74</v>
      </c>
      <c r="C217" s="67">
        <f>CHOOSE($J$149-1,AVERAGE(B145:B146),AVERAGE(B144:B146),AVERAGE(B143:B146),AVERAGE(B142:B146),AVERAGE(B141:B146))</f>
        <v>9650</v>
      </c>
      <c r="D217" s="67">
        <f t="shared" si="42"/>
        <v>10117.948717948719</v>
      </c>
      <c r="E217" s="70">
        <f t="shared" si="43"/>
        <v>10118</v>
      </c>
      <c r="F217" s="69" t="s">
        <v>68</v>
      </c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5.5" x14ac:dyDescent="0.35">
      <c r="A218" s="69">
        <v>15</v>
      </c>
      <c r="B218" s="69" t="s">
        <v>75</v>
      </c>
      <c r="C218" s="67">
        <f>CHOOSE($J$149-1,AVERAGE(B145:B146),AVERAGE(B144:B146),AVERAGE(B143:B146),AVERAGE(B142:B146),AVERAGE(B141:B146))</f>
        <v>9650</v>
      </c>
      <c r="D218" s="67">
        <f t="shared" si="42"/>
        <v>10452.564102564102</v>
      </c>
      <c r="E218" s="70">
        <f t="shared" si="43"/>
        <v>10453</v>
      </c>
      <c r="F218" s="69" t="s">
        <v>68</v>
      </c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5.5" x14ac:dyDescent="0.35">
      <c r="A219" s="69">
        <v>16</v>
      </c>
      <c r="B219" s="69" t="s">
        <v>76</v>
      </c>
      <c r="C219" s="67">
        <f>CHOOSE($J$149-1,AVERAGE(B145:B146),AVERAGE(B144:B146),AVERAGE(B143:B146),AVERAGE(B142:B146),AVERAGE(B141:B146))</f>
        <v>9650</v>
      </c>
      <c r="D219" s="67">
        <f t="shared" si="42"/>
        <v>10787.179487179488</v>
      </c>
      <c r="E219" s="70">
        <f t="shared" si="43"/>
        <v>10787</v>
      </c>
      <c r="F219" s="69" t="s">
        <v>68</v>
      </c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5.5" x14ac:dyDescent="0.35">
      <c r="A220" s="69">
        <v>17</v>
      </c>
      <c r="B220" s="69" t="s">
        <v>77</v>
      </c>
      <c r="C220" s="67">
        <f>CHOOSE($J$149-1,AVERAGE(B145:B146),AVERAGE(B144:B146),AVERAGE(B143:B146),AVERAGE(B142:B146),AVERAGE(B141:B146))</f>
        <v>9650</v>
      </c>
      <c r="D220" s="67">
        <f t="shared" si="42"/>
        <v>11121.794871794871</v>
      </c>
      <c r="E220" s="70">
        <f t="shared" si="43"/>
        <v>11122</v>
      </c>
      <c r="F220" s="69" t="s">
        <v>68</v>
      </c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5.5" x14ac:dyDescent="0.35">
      <c r="A221" s="69">
        <v>18</v>
      </c>
      <c r="B221" s="69" t="s">
        <v>78</v>
      </c>
      <c r="C221" s="67">
        <f>CHOOSE($J$149-1,AVERAGE(B145:B146),AVERAGE(B144:B146),AVERAGE(B143:B146),AVERAGE(B142:B146),AVERAGE(B141:B146))</f>
        <v>9650</v>
      </c>
      <c r="D221" s="67">
        <f t="shared" si="42"/>
        <v>11456.410256410258</v>
      </c>
      <c r="E221" s="70">
        <f t="shared" si="43"/>
        <v>11456</v>
      </c>
      <c r="F221" s="69" t="s">
        <v>68</v>
      </c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5.5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3" customHeight="1" x14ac:dyDescent="0.35"/>
    <row r="224" spans="1:15" ht="3" customHeight="1" x14ac:dyDescent="0.35"/>
    <row r="225" spans="1:15" ht="15.5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34" customHeight="1" x14ac:dyDescent="0.35">
      <c r="A226" s="57" t="s">
        <v>79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</row>
    <row r="227" spans="1:15" ht="15.5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5.5" x14ac:dyDescent="0.35">
      <c r="A228" s="6"/>
      <c r="B228" s="6"/>
      <c r="C228" s="6"/>
      <c r="D228" s="6">
        <v>2</v>
      </c>
      <c r="E228" s="6">
        <v>3</v>
      </c>
      <c r="F228" s="6">
        <v>4</v>
      </c>
      <c r="G228" s="6">
        <v>5</v>
      </c>
      <c r="H228" s="6">
        <v>6</v>
      </c>
      <c r="I228" s="6"/>
      <c r="J228" s="6"/>
      <c r="K228" s="6"/>
      <c r="L228" s="6"/>
      <c r="M228" s="6"/>
      <c r="N228" s="6"/>
      <c r="O228" s="6"/>
    </row>
    <row r="229" spans="1:15" ht="48" customHeight="1" x14ac:dyDescent="0.35">
      <c r="A229" s="68" t="s">
        <v>36</v>
      </c>
      <c r="B229" s="68" t="s">
        <v>0</v>
      </c>
      <c r="C229" s="68" t="s">
        <v>80</v>
      </c>
      <c r="D229" s="68" t="s">
        <v>81</v>
      </c>
      <c r="E229" s="68" t="s">
        <v>82</v>
      </c>
      <c r="F229" s="68" t="s">
        <v>83</v>
      </c>
      <c r="G229" s="68" t="s">
        <v>84</v>
      </c>
      <c r="H229" s="68" t="s">
        <v>85</v>
      </c>
      <c r="I229" s="6"/>
      <c r="J229" s="68" t="s">
        <v>80</v>
      </c>
      <c r="K229" s="68" t="s">
        <v>69</v>
      </c>
      <c r="L229" s="68" t="s">
        <v>86</v>
      </c>
      <c r="M229" s="68" t="s">
        <v>87</v>
      </c>
      <c r="N229" s="68" t="s">
        <v>88</v>
      </c>
    </row>
    <row r="230" spans="1:15" ht="15.5" x14ac:dyDescent="0.35">
      <c r="A230" s="69">
        <f t="shared" ref="A230:A235" si="44">A141</f>
        <v>7</v>
      </c>
      <c r="B230" s="69" t="s">
        <v>16</v>
      </c>
      <c r="C230" s="67">
        <f t="shared" ref="C230:C235" si="45">B141</f>
        <v>8200</v>
      </c>
      <c r="D230" s="67">
        <f t="shared" ref="D230:D235" si="46">AVERAGE(B139:B140)</f>
        <v>7400</v>
      </c>
      <c r="E230" s="67">
        <f t="shared" ref="E230:E235" si="47">AVERAGE(B138:B140)</f>
        <v>7200</v>
      </c>
      <c r="F230" s="67">
        <f t="shared" ref="F230:F235" si="48">AVERAGE(B137:B140)</f>
        <v>7025</v>
      </c>
      <c r="G230" s="67">
        <f t="shared" ref="G230:G235" si="49">AVERAGE(B136:B140)</f>
        <v>6780</v>
      </c>
      <c r="H230" s="67">
        <f t="shared" ref="H230:H235" si="50">AVERAGE(B135:B140)</f>
        <v>6650</v>
      </c>
      <c r="I230" s="52"/>
      <c r="J230" s="67">
        <f t="shared" ref="J230:J235" si="51">C230</f>
        <v>8200</v>
      </c>
      <c r="K230" s="67">
        <f>SUMIFS(Raw_Dataset!$D$2:$D$37,Raw_Dataset!$A$2:$A$37,B230,Raw_Dataset!$B$2:$B$37,"Cairo House Blend")</f>
        <v>7900</v>
      </c>
      <c r="L230" s="67">
        <f t="shared" ref="L230:L235" si="52">J230-K230</f>
        <v>300</v>
      </c>
      <c r="M230" s="67">
        <f t="shared" ref="M230:M235" si="53">ABS(L230)</f>
        <v>300</v>
      </c>
      <c r="N230" s="67">
        <f t="shared" ref="N230:N235" si="54">L230^2</f>
        <v>90000</v>
      </c>
    </row>
    <row r="231" spans="1:15" ht="15.5" x14ac:dyDescent="0.35">
      <c r="A231" s="69">
        <f t="shared" si="44"/>
        <v>8</v>
      </c>
      <c r="B231" s="69" t="s">
        <v>17</v>
      </c>
      <c r="C231" s="67">
        <f t="shared" si="45"/>
        <v>8000</v>
      </c>
      <c r="D231" s="67">
        <f t="shared" si="46"/>
        <v>7900</v>
      </c>
      <c r="E231" s="67">
        <f t="shared" si="47"/>
        <v>7666.666666666667</v>
      </c>
      <c r="F231" s="67">
        <f t="shared" si="48"/>
        <v>7450</v>
      </c>
      <c r="G231" s="67">
        <f t="shared" si="49"/>
        <v>7260</v>
      </c>
      <c r="H231" s="67">
        <f t="shared" si="50"/>
        <v>7016.666666666667</v>
      </c>
      <c r="I231" s="52"/>
      <c r="J231" s="67">
        <f t="shared" si="51"/>
        <v>8000</v>
      </c>
      <c r="K231" s="67">
        <f>SUMIFS(Raw_Dataset!$D$2:$D$37,Raw_Dataset!$A$2:$A$37,B231,Raw_Dataset!$B$2:$B$37,"Cairo House Blend")</f>
        <v>8300</v>
      </c>
      <c r="L231" s="67">
        <f t="shared" si="52"/>
        <v>-300</v>
      </c>
      <c r="M231" s="67">
        <f t="shared" si="53"/>
        <v>300</v>
      </c>
      <c r="N231" s="67">
        <f t="shared" si="54"/>
        <v>90000</v>
      </c>
    </row>
    <row r="232" spans="1:15" ht="15.5" x14ac:dyDescent="0.35">
      <c r="A232" s="69">
        <f t="shared" si="44"/>
        <v>9</v>
      </c>
      <c r="B232" s="69" t="s">
        <v>18</v>
      </c>
      <c r="C232" s="67">
        <f t="shared" si="45"/>
        <v>7500</v>
      </c>
      <c r="D232" s="67">
        <f t="shared" si="46"/>
        <v>8100</v>
      </c>
      <c r="E232" s="67">
        <f t="shared" si="47"/>
        <v>7933.333333333333</v>
      </c>
      <c r="F232" s="67">
        <f t="shared" si="48"/>
        <v>7750</v>
      </c>
      <c r="G232" s="67">
        <f t="shared" si="49"/>
        <v>7560</v>
      </c>
      <c r="H232" s="67">
        <f t="shared" si="50"/>
        <v>7383.333333333333</v>
      </c>
      <c r="I232" s="52"/>
      <c r="J232" s="67">
        <f t="shared" si="51"/>
        <v>7500</v>
      </c>
      <c r="K232" s="67">
        <f>SUMIFS(Raw_Dataset!$D$2:$D$37,Raw_Dataset!$A$2:$A$37,B232,Raw_Dataset!$B$2:$B$37,"Cairo House Blend")</f>
        <v>7800</v>
      </c>
      <c r="L232" s="67">
        <f t="shared" si="52"/>
        <v>-300</v>
      </c>
      <c r="M232" s="67">
        <f t="shared" si="53"/>
        <v>300</v>
      </c>
      <c r="N232" s="67">
        <f t="shared" si="54"/>
        <v>90000</v>
      </c>
    </row>
    <row r="233" spans="1:15" ht="15.5" x14ac:dyDescent="0.35">
      <c r="A233" s="69">
        <f t="shared" si="44"/>
        <v>10</v>
      </c>
      <c r="B233" s="69" t="s">
        <v>19</v>
      </c>
      <c r="C233" s="67">
        <f t="shared" si="45"/>
        <v>8400</v>
      </c>
      <c r="D233" s="67">
        <f t="shared" si="46"/>
        <v>7750</v>
      </c>
      <c r="E233" s="67">
        <f t="shared" si="47"/>
        <v>7900</v>
      </c>
      <c r="F233" s="67">
        <f t="shared" si="48"/>
        <v>7825</v>
      </c>
      <c r="G233" s="67">
        <f t="shared" si="49"/>
        <v>7700</v>
      </c>
      <c r="H233" s="67">
        <f t="shared" si="50"/>
        <v>7550</v>
      </c>
      <c r="I233" s="52"/>
      <c r="J233" s="67">
        <f t="shared" si="51"/>
        <v>8400</v>
      </c>
      <c r="K233" s="67">
        <f>SUMIFS(Raw_Dataset!$D$2:$D$37,Raw_Dataset!$A$2:$A$37,B233,Raw_Dataset!$B$2:$B$37,"Cairo House Blend")</f>
        <v>8000</v>
      </c>
      <c r="L233" s="67">
        <f t="shared" si="52"/>
        <v>400</v>
      </c>
      <c r="M233" s="67">
        <f t="shared" si="53"/>
        <v>400</v>
      </c>
      <c r="N233" s="67">
        <f t="shared" si="54"/>
        <v>160000</v>
      </c>
    </row>
    <row r="234" spans="1:15" ht="15.5" x14ac:dyDescent="0.35">
      <c r="A234" s="69">
        <f t="shared" si="44"/>
        <v>11</v>
      </c>
      <c r="B234" s="69" t="s">
        <v>20</v>
      </c>
      <c r="C234" s="67">
        <f t="shared" si="45"/>
        <v>9100</v>
      </c>
      <c r="D234" s="67">
        <f t="shared" si="46"/>
        <v>7950</v>
      </c>
      <c r="E234" s="67">
        <f t="shared" si="47"/>
        <v>7966.666666666667</v>
      </c>
      <c r="F234" s="67">
        <f t="shared" si="48"/>
        <v>8025</v>
      </c>
      <c r="G234" s="67">
        <f t="shared" si="49"/>
        <v>7940</v>
      </c>
      <c r="H234" s="67">
        <f t="shared" si="50"/>
        <v>7816.666666666667</v>
      </c>
      <c r="I234" s="52"/>
      <c r="J234" s="67">
        <f t="shared" si="51"/>
        <v>9100</v>
      </c>
      <c r="K234" s="67">
        <f>SUMIFS(Raw_Dataset!$D$2:$D$37,Raw_Dataset!$A$2:$A$37,B234,Raw_Dataset!$B$2:$B$37,"Cairo House Blend")</f>
        <v>8800</v>
      </c>
      <c r="L234" s="67">
        <f t="shared" si="52"/>
        <v>300</v>
      </c>
      <c r="M234" s="67">
        <f t="shared" si="53"/>
        <v>300</v>
      </c>
      <c r="N234" s="67">
        <f t="shared" si="54"/>
        <v>90000</v>
      </c>
    </row>
    <row r="235" spans="1:15" ht="15.5" x14ac:dyDescent="0.35">
      <c r="A235" s="69">
        <f t="shared" si="44"/>
        <v>12</v>
      </c>
      <c r="B235" s="69" t="s">
        <v>21</v>
      </c>
      <c r="C235" s="67">
        <f t="shared" si="45"/>
        <v>10200</v>
      </c>
      <c r="D235" s="67">
        <f t="shared" si="46"/>
        <v>8750</v>
      </c>
      <c r="E235" s="67">
        <f t="shared" si="47"/>
        <v>8333.3333333333339</v>
      </c>
      <c r="F235" s="67">
        <f t="shared" si="48"/>
        <v>8250</v>
      </c>
      <c r="G235" s="67">
        <f t="shared" si="49"/>
        <v>8240</v>
      </c>
      <c r="H235" s="67">
        <f t="shared" si="50"/>
        <v>8133.333333333333</v>
      </c>
      <c r="I235" s="52"/>
      <c r="J235" s="67">
        <f t="shared" si="51"/>
        <v>10200</v>
      </c>
      <c r="K235" s="67">
        <f>SUMIFS(Raw_Dataset!$D$2:$D$37,Raw_Dataset!$A$2:$A$37,B235,Raw_Dataset!$B$2:$B$37,"Cairo House Blend")</f>
        <v>9700</v>
      </c>
      <c r="L235" s="67">
        <f t="shared" si="52"/>
        <v>500</v>
      </c>
      <c r="M235" s="67">
        <f t="shared" si="53"/>
        <v>500</v>
      </c>
      <c r="N235" s="67">
        <f t="shared" si="54"/>
        <v>250000</v>
      </c>
    </row>
    <row r="236" spans="1:15" ht="15.5" x14ac:dyDescent="0.35">
      <c r="A236" s="6"/>
      <c r="B236" s="6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6"/>
    </row>
    <row r="237" spans="1:15" ht="15.5" x14ac:dyDescent="0.35">
      <c r="A237" s="6"/>
      <c r="B237" s="6"/>
      <c r="C237" s="67" t="s">
        <v>89</v>
      </c>
      <c r="D237" s="67">
        <f>(ABS(C230-D230)+ABS(C231-D231)+ABS(C232-D232)+ABS(C233-D233)+ABS(C234-D234)+ABS(C235-D235))/COUNT(C230:C235)</f>
        <v>791.66666666666663</v>
      </c>
      <c r="E237" s="67">
        <f>(ABS(C230-E230)+ABS(C231-E231)+ABS(C232-E232)+ABS(C233-E233)+ABS(C234-E234)+ABS(C235-E235))/COUNT(C230:C235)</f>
        <v>877.77777777777749</v>
      </c>
      <c r="F237" s="67">
        <f>(ABS(C230-F230)+ABS(C231-F231)+ABS(C232-F232)+ABS(C233-F233)+ABS(C234-F234)+ABS(C235-F235))/COUNT(C230:C235)</f>
        <v>929.16666666666663</v>
      </c>
      <c r="G237" s="67">
        <f>(ABS(C230-G230)+ABS(C231-G231)+ABS(C232-G232)+ABS(C233-G233)+ABS(C234-G234)+ABS(C235-G235))/COUNT(C230:C235)</f>
        <v>1006.6666666666666</v>
      </c>
      <c r="H237" s="67">
        <f>(ABS(C230-H230)+ABS(C231-H231)+ABS(C232-H232)+ABS(C233-H233)+ABS(C234-H234)+ABS(C235-H235))/COUNT(C230:C235)</f>
        <v>1141.6666666666667</v>
      </c>
      <c r="I237" s="52"/>
      <c r="J237" s="52"/>
      <c r="K237" s="52"/>
      <c r="L237" s="52"/>
      <c r="M237" s="52"/>
      <c r="N237" s="52"/>
      <c r="O237" s="6"/>
    </row>
    <row r="238" spans="1:15" ht="15.5" x14ac:dyDescent="0.35">
      <c r="A238" s="6"/>
      <c r="B238" s="6"/>
      <c r="C238" s="67" t="s">
        <v>90</v>
      </c>
      <c r="D238" s="67">
        <f>((C230-D230)^2+(C231-D231)^2+(C232-D232)^2+(C233-D233)^2+(C234-D234)^2+(C235-D235)^2)/COUNT(C230:C235)</f>
        <v>809583.33333333337</v>
      </c>
      <c r="E238" s="67">
        <f>((C230-E230)^2+(C231-E231)^2+(C232-E232)^2+(C233-E233)^2+(C234-E234)^2+(C235-E235)^2)/COUNT(C230:C235)</f>
        <v>1052962.9629629625</v>
      </c>
      <c r="F238" s="67">
        <f>((C230-F230)^2+(C231-F231)^2+(C232-F232)^2+(C233-F233)^2+(C234-F234)^2+(C235-F235)^2)/COUNT(C230:C235)</f>
        <v>1172395.8333333333</v>
      </c>
      <c r="G238" s="67">
        <f>((C230-G230)^2+(C231-G231)^2+(C232-G232)^2+(C233-G233)^2+(C234-G234)^2+(C235-G235)^2)/COUNT(C230:C235)</f>
        <v>1374133.3333333333</v>
      </c>
      <c r="H238" s="67">
        <f>((C230-H230)^2+(C231-H231)^2+(C232-H232)^2+(C233-H233)^2+(C234-H234)^2+(C235-H235)^2)/COUNT(C230:C235)</f>
        <v>1670601.8518518517</v>
      </c>
      <c r="I238" s="52"/>
      <c r="J238" s="52"/>
      <c r="K238" s="52"/>
      <c r="L238" s="52"/>
      <c r="M238" s="52"/>
      <c r="N238" s="52"/>
      <c r="O238" s="6"/>
    </row>
    <row r="239" spans="1:15" ht="15.5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3" customHeight="1" x14ac:dyDescent="0.35"/>
    <row r="241" spans="1:15" ht="3" customHeight="1" x14ac:dyDescent="0.35"/>
    <row r="242" spans="1:15" ht="15.5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5.5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3" customHeight="1" x14ac:dyDescent="0.35"/>
    <row r="245" spans="1:15" ht="3" customHeight="1" x14ac:dyDescent="0.35"/>
    <row r="246" spans="1:15" ht="3" customHeight="1" x14ac:dyDescent="0.35"/>
    <row r="247" spans="1:15" ht="3" customHeight="1" x14ac:dyDescent="0.35"/>
    <row r="248" spans="1:15" ht="3" customHeight="1" x14ac:dyDescent="0.35"/>
    <row r="249" spans="1:15" ht="3" customHeight="1" x14ac:dyDescent="0.35"/>
    <row r="250" spans="1:15" ht="3" customHeight="1" x14ac:dyDescent="0.35"/>
    <row r="251" spans="1:15" ht="3" customHeight="1" x14ac:dyDescent="0.35"/>
    <row r="252" spans="1:15" ht="3" customHeight="1" x14ac:dyDescent="0.35"/>
    <row r="253" spans="1:15" ht="3" customHeight="1" x14ac:dyDescent="0.35"/>
    <row r="254" spans="1:15" ht="3" customHeight="1" x14ac:dyDescent="0.35"/>
    <row r="255" spans="1:15" ht="15.5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5.5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5.5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5.5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5.5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5.5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22" customHeight="1" thickBot="1" x14ac:dyDescent="0.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38" customHeight="1" thickBot="1" x14ac:dyDescent="0.4">
      <c r="A262" s="80" t="s">
        <v>92</v>
      </c>
      <c r="B262" s="81"/>
      <c r="C262" s="82"/>
      <c r="D262" s="83"/>
      <c r="E262" s="84"/>
      <c r="F262" s="82"/>
      <c r="G262" s="82"/>
      <c r="H262" s="82"/>
      <c r="I262" s="82"/>
      <c r="J262" s="82"/>
      <c r="K262" s="82"/>
      <c r="L262" s="82"/>
      <c r="M262" s="82"/>
      <c r="N262" s="82"/>
      <c r="O262" s="85"/>
    </row>
    <row r="263" spans="1:15" ht="22" customHeight="1" thickBot="1" x14ac:dyDescent="0.4">
      <c r="A263" s="6"/>
      <c r="B263" s="6"/>
      <c r="C263" s="6"/>
      <c r="D263" s="7"/>
      <c r="E263" s="8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38" customHeight="1" x14ac:dyDescent="0.35">
      <c r="A264" s="9" t="s">
        <v>36</v>
      </c>
      <c r="B264" s="10" t="s">
        <v>37</v>
      </c>
      <c r="C264" s="6" t="s">
        <v>0</v>
      </c>
      <c r="D264" s="7"/>
      <c r="E264" s="8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22" customHeight="1" x14ac:dyDescent="0.35">
      <c r="A265" s="11">
        <v>1</v>
      </c>
      <c r="B265" s="11">
        <f>SUMIFS(Raw_Dataset!$C$2:$C$37,Raw_Dataset!$A$2:$A$37,C265,Raw_Dataset!$B$2:$B$37,"Nile Cold Brew")</f>
        <v>2500</v>
      </c>
      <c r="C265" s="6" t="s">
        <v>9</v>
      </c>
      <c r="D265" s="7"/>
      <c r="E265" s="8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22" customHeight="1" x14ac:dyDescent="0.35">
      <c r="A266" s="11">
        <v>2</v>
      </c>
      <c r="B266" s="11">
        <f>SUMIFS(Raw_Dataset!$C$2:$C$37,Raw_Dataset!$A$2:$A$37,C266,Raw_Dataset!$B$2:$B$37,"Nile Cold Brew")</f>
        <v>2300</v>
      </c>
      <c r="C266" s="6" t="s">
        <v>11</v>
      </c>
      <c r="D266" s="7"/>
      <c r="E266" s="8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22" customHeight="1" x14ac:dyDescent="0.35">
      <c r="A267" s="11">
        <v>3</v>
      </c>
      <c r="B267" s="11">
        <f>SUMIFS(Raw_Dataset!$C$2:$C$37,Raw_Dataset!$A$2:$A$37,C267,Raw_Dataset!$B$2:$B$37,"Nile Cold Brew")</f>
        <v>3000</v>
      </c>
      <c r="C267" s="6" t="s">
        <v>12</v>
      </c>
      <c r="D267" s="7"/>
      <c r="E267" s="8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22" customHeight="1" x14ac:dyDescent="0.35">
      <c r="A268" s="11">
        <v>4</v>
      </c>
      <c r="B268" s="11">
        <f>SUMIFS(Raw_Dataset!$C$2:$C$37,Raw_Dataset!$A$2:$A$37,C268,Raw_Dataset!$B$2:$B$37,"Nile Cold Brew")</f>
        <v>3400</v>
      </c>
      <c r="C268" s="6" t="s">
        <v>13</v>
      </c>
      <c r="D268" s="7"/>
      <c r="E268" s="8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22" customHeight="1" x14ac:dyDescent="0.35">
      <c r="A269" s="11">
        <v>5</v>
      </c>
      <c r="B269" s="11">
        <f>SUMIFS(Raw_Dataset!$C$2:$C$37,Raw_Dataset!$A$2:$A$37,C269,Raw_Dataset!$B$2:$B$37,"Nile Cold Brew")</f>
        <v>3900</v>
      </c>
      <c r="C269" s="6" t="s">
        <v>14</v>
      </c>
      <c r="D269" s="7"/>
      <c r="E269" s="8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22" customHeight="1" x14ac:dyDescent="0.35">
      <c r="A270" s="11">
        <v>6</v>
      </c>
      <c r="B270" s="11">
        <f>SUMIFS(Raw_Dataset!$C$2:$C$37,Raw_Dataset!$A$2:$A$37,C270,Raw_Dataset!$B$2:$B$37,"Nile Cold Brew")</f>
        <v>4500</v>
      </c>
      <c r="C270" s="6" t="s">
        <v>15</v>
      </c>
      <c r="D270" s="7"/>
      <c r="E270" s="8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22" customHeight="1" x14ac:dyDescent="0.35">
      <c r="A271" s="11">
        <v>7</v>
      </c>
      <c r="B271" s="11">
        <f>SUMIFS(Raw_Dataset!$C$2:$C$37,Raw_Dataset!$A$2:$A$37,C271,Raw_Dataset!$B$2:$B$37,"Nile Cold Brew")</f>
        <v>5200</v>
      </c>
      <c r="C271" s="6" t="s">
        <v>16</v>
      </c>
      <c r="D271" s="7"/>
      <c r="E271" s="8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22" customHeight="1" x14ac:dyDescent="0.35">
      <c r="A272" s="11">
        <v>8</v>
      </c>
      <c r="B272" s="11">
        <f>SUMIFS(Raw_Dataset!$C$2:$C$37,Raw_Dataset!$A$2:$A$37,C272,Raw_Dataset!$B$2:$B$37,"Nile Cold Brew")</f>
        <v>5000</v>
      </c>
      <c r="C272" s="6" t="s">
        <v>17</v>
      </c>
      <c r="D272" s="7"/>
      <c r="E272" s="8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22" customHeight="1" x14ac:dyDescent="0.35">
      <c r="A273" s="11">
        <v>9</v>
      </c>
      <c r="B273" s="11">
        <f>SUMIFS(Raw_Dataset!$C$2:$C$37,Raw_Dataset!$A$2:$A$37,C273,Raw_Dataset!$B$2:$B$37,"Nile Cold Brew")</f>
        <v>4200</v>
      </c>
      <c r="C273" s="6" t="s">
        <v>18</v>
      </c>
      <c r="D273" s="7"/>
      <c r="E273" s="8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22" customHeight="1" x14ac:dyDescent="0.35">
      <c r="A274" s="11">
        <v>10</v>
      </c>
      <c r="B274" s="11">
        <f>SUMIFS(Raw_Dataset!$C$2:$C$37,Raw_Dataset!$A$2:$A$37,C274,Raw_Dataset!$B$2:$B$37,"Nile Cold Brew")</f>
        <v>5600</v>
      </c>
      <c r="C274" s="6" t="s">
        <v>19</v>
      </c>
      <c r="D274" s="7"/>
      <c r="E274" s="8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22" customHeight="1" x14ac:dyDescent="0.35">
      <c r="A275" s="11">
        <v>11</v>
      </c>
      <c r="B275" s="11">
        <f>SUMIFS(Raw_Dataset!$C$2:$C$37,Raw_Dataset!$A$2:$A$37,C275,Raw_Dataset!$B$2:$B$37,"Nile Cold Brew")</f>
        <v>6500</v>
      </c>
      <c r="C275" s="6" t="s">
        <v>20</v>
      </c>
      <c r="D275" s="7"/>
      <c r="E275" s="8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22" customHeight="1" x14ac:dyDescent="0.35">
      <c r="A276" s="11">
        <v>12</v>
      </c>
      <c r="B276" s="11">
        <f>SUMIFS(Raw_Dataset!$C$2:$C$37,Raw_Dataset!$A$2:$A$37,C276,Raw_Dataset!$B$2:$B$37,"Nile Cold Brew")</f>
        <v>7800</v>
      </c>
      <c r="C276" s="6" t="s">
        <v>21</v>
      </c>
      <c r="D276" s="7"/>
      <c r="E276" s="8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22" customHeight="1" x14ac:dyDescent="0.35">
      <c r="A277" s="6"/>
      <c r="B277" s="6"/>
      <c r="C277" s="6"/>
      <c r="D277" s="7"/>
      <c r="E277" s="8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22" customHeight="1" x14ac:dyDescent="0.35">
      <c r="A278" s="12"/>
      <c r="B278" s="12"/>
      <c r="C278" s="6"/>
      <c r="D278" s="13"/>
      <c r="E278" s="13"/>
      <c r="F278" s="13"/>
      <c r="G278" s="13"/>
      <c r="H278" s="14"/>
      <c r="I278" s="6"/>
      <c r="J278" s="6"/>
      <c r="K278" s="6"/>
      <c r="L278" s="6"/>
      <c r="M278" s="6"/>
      <c r="N278" s="6"/>
      <c r="O278" s="6"/>
    </row>
    <row r="279" spans="1:15" ht="32" customHeight="1" x14ac:dyDescent="0.35">
      <c r="A279" s="58" t="s">
        <v>38</v>
      </c>
      <c r="B279" s="59"/>
      <c r="C279" s="59"/>
      <c r="D279" s="59"/>
      <c r="E279" s="6"/>
      <c r="F279" s="60" t="s">
        <v>39</v>
      </c>
      <c r="G279" s="60"/>
      <c r="H279" s="6"/>
      <c r="I279" s="6"/>
      <c r="J279" s="6">
        <f>INDEX(D358:H358,1,MATCH(MIN(D368:H368),D368:H368,0))</f>
        <v>2</v>
      </c>
      <c r="K279" s="6"/>
      <c r="L279" s="6"/>
      <c r="M279" s="6"/>
      <c r="N279" s="6"/>
      <c r="O279" s="6"/>
    </row>
    <row r="280" spans="1:15" ht="22" customHeigh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38" customHeight="1" x14ac:dyDescent="0.35">
      <c r="A281" s="15" t="s">
        <v>36</v>
      </c>
      <c r="B281" s="16" t="s">
        <v>40</v>
      </c>
      <c r="C281" s="6"/>
      <c r="D281" s="17" t="s">
        <v>41</v>
      </c>
      <c r="E281" s="16" t="s">
        <v>42</v>
      </c>
      <c r="F281" s="16" t="s">
        <v>43</v>
      </c>
      <c r="G281" s="16" t="s">
        <v>44</v>
      </c>
      <c r="I281" s="6"/>
      <c r="J281" s="6"/>
      <c r="K281" s="6"/>
      <c r="L281" s="6"/>
      <c r="M281" s="6"/>
      <c r="N281" s="6"/>
      <c r="O281" s="6"/>
    </row>
    <row r="282" spans="1:15" ht="22" customHeight="1" x14ac:dyDescent="0.35">
      <c r="A282" s="11">
        <f t="shared" ref="A282:B293" si="56">A265</f>
        <v>1</v>
      </c>
      <c r="B282" s="11">
        <f t="shared" si="56"/>
        <v>2500</v>
      </c>
      <c r="C282" s="6"/>
      <c r="D282" s="18"/>
      <c r="E282" s="19"/>
      <c r="F282" s="19"/>
      <c r="G282" s="19"/>
      <c r="I282" s="6"/>
      <c r="J282" s="20" t="s">
        <v>46</v>
      </c>
      <c r="K282" s="21">
        <f>COUNT(E288:E293)</f>
        <v>6</v>
      </c>
      <c r="L282" s="6"/>
      <c r="M282" s="6"/>
      <c r="N282" s="6"/>
      <c r="O282" s="6"/>
    </row>
    <row r="283" spans="1:15" ht="22" customHeight="1" x14ac:dyDescent="0.35">
      <c r="A283" s="11">
        <f t="shared" si="56"/>
        <v>2</v>
      </c>
      <c r="B283" s="11">
        <f t="shared" si="56"/>
        <v>2300</v>
      </c>
      <c r="C283" s="6"/>
      <c r="D283" s="18"/>
      <c r="E283" s="19"/>
      <c r="F283" s="19"/>
      <c r="G283" s="19"/>
      <c r="I283" s="6"/>
      <c r="J283" s="22" t="s">
        <v>47</v>
      </c>
      <c r="K283" s="23">
        <f>SUM(F288:F293)</f>
        <v>6400</v>
      </c>
      <c r="L283" s="6"/>
      <c r="M283" s="6"/>
      <c r="N283" s="6"/>
      <c r="O283" s="6"/>
    </row>
    <row r="284" spans="1:15" ht="22" customHeight="1" x14ac:dyDescent="0.35">
      <c r="A284" s="11">
        <f t="shared" si="56"/>
        <v>3</v>
      </c>
      <c r="B284" s="11">
        <f t="shared" si="56"/>
        <v>3000</v>
      </c>
      <c r="C284" s="6"/>
      <c r="D284" s="18"/>
      <c r="E284" s="19"/>
      <c r="F284" s="19"/>
      <c r="G284" s="19"/>
      <c r="I284" s="6"/>
      <c r="J284" s="22" t="s">
        <v>48</v>
      </c>
      <c r="K284" s="23">
        <f>SUM(G288:G293)</f>
        <v>8455000</v>
      </c>
      <c r="L284" s="6"/>
      <c r="M284" s="6"/>
      <c r="N284" s="6"/>
      <c r="O284" s="6"/>
    </row>
    <row r="285" spans="1:15" ht="22" customHeight="1" x14ac:dyDescent="0.35">
      <c r="A285" s="11">
        <f t="shared" si="56"/>
        <v>4</v>
      </c>
      <c r="B285" s="11">
        <f t="shared" si="56"/>
        <v>3400</v>
      </c>
      <c r="C285" s="6"/>
      <c r="D285" s="18"/>
      <c r="E285" s="19"/>
      <c r="F285" s="19"/>
      <c r="G285" s="19"/>
      <c r="I285" s="6"/>
      <c r="L285" s="6"/>
      <c r="M285" s="6"/>
      <c r="N285" s="6"/>
      <c r="O285" s="6"/>
    </row>
    <row r="286" spans="1:15" ht="22" customHeight="1" x14ac:dyDescent="0.35">
      <c r="A286" s="11">
        <f t="shared" si="56"/>
        <v>5</v>
      </c>
      <c r="B286" s="11">
        <f t="shared" si="56"/>
        <v>3900</v>
      </c>
      <c r="C286" s="6"/>
      <c r="D286" s="18"/>
      <c r="E286" s="19"/>
      <c r="F286" s="19"/>
      <c r="G286" s="19"/>
      <c r="I286" s="6"/>
      <c r="J286" s="25"/>
      <c r="K286" s="6"/>
      <c r="L286" s="6"/>
      <c r="M286" s="6"/>
      <c r="N286" s="6"/>
      <c r="O286" s="6"/>
    </row>
    <row r="287" spans="1:15" ht="28" customHeight="1" x14ac:dyDescent="0.35">
      <c r="A287" s="11">
        <f t="shared" si="56"/>
        <v>6</v>
      </c>
      <c r="B287" s="11">
        <f t="shared" si="56"/>
        <v>4500</v>
      </c>
      <c r="C287" s="6"/>
      <c r="D287" s="18"/>
      <c r="E287" s="19"/>
      <c r="F287" s="19"/>
      <c r="G287" s="19"/>
      <c r="I287" s="6"/>
      <c r="J287" s="54" t="s">
        <v>50</v>
      </c>
      <c r="K287" s="27">
        <f>K283/K282</f>
        <v>1066.6666666666667</v>
      </c>
      <c r="L287" s="6"/>
      <c r="M287" s="6"/>
      <c r="N287" s="6"/>
      <c r="O287" s="6"/>
    </row>
    <row r="288" spans="1:15" ht="28" customHeight="1" x14ac:dyDescent="0.35">
      <c r="A288" s="11">
        <f t="shared" si="56"/>
        <v>7</v>
      </c>
      <c r="B288" s="11">
        <f t="shared" si="56"/>
        <v>5200</v>
      </c>
      <c r="C288" s="6"/>
      <c r="D288" s="28">
        <f t="shared" ref="D288:D293" si="57">INDEX(D360:H360,1,MATCH($J$279,$D$358:$H$358,0))</f>
        <v>4200</v>
      </c>
      <c r="E288" s="29">
        <f t="shared" ref="E288:E293" si="58">B288-D288</f>
        <v>1000</v>
      </c>
      <c r="F288" s="29">
        <f t="shared" ref="F288:F293" si="59">ABS(E288)</f>
        <v>1000</v>
      </c>
      <c r="G288" s="29">
        <f t="shared" ref="G288:G293" si="60">E288^2</f>
        <v>1000000</v>
      </c>
      <c r="I288" s="6"/>
      <c r="J288" s="54" t="s">
        <v>51</v>
      </c>
      <c r="K288" s="27">
        <f>K284/K282</f>
        <v>1409166.6666666667</v>
      </c>
      <c r="L288" s="6"/>
      <c r="M288" s="6"/>
      <c r="N288" s="6"/>
      <c r="O288" s="6"/>
    </row>
    <row r="289" spans="1:15" ht="28" customHeight="1" x14ac:dyDescent="0.35">
      <c r="A289" s="11">
        <f t="shared" si="56"/>
        <v>8</v>
      </c>
      <c r="B289" s="11">
        <f t="shared" si="56"/>
        <v>5000</v>
      </c>
      <c r="C289" s="6"/>
      <c r="D289" s="28">
        <f t="shared" si="57"/>
        <v>4850</v>
      </c>
      <c r="E289" s="29">
        <f t="shared" si="58"/>
        <v>150</v>
      </c>
      <c r="F289" s="29">
        <f t="shared" si="59"/>
        <v>150</v>
      </c>
      <c r="G289" s="29">
        <f t="shared" si="60"/>
        <v>22500</v>
      </c>
      <c r="I289" s="6"/>
      <c r="L289" s="6"/>
      <c r="M289" s="6"/>
      <c r="N289" s="6"/>
      <c r="O289" s="6"/>
    </row>
    <row r="290" spans="1:15" ht="22" customHeight="1" x14ac:dyDescent="0.35">
      <c r="A290" s="11">
        <f t="shared" si="56"/>
        <v>9</v>
      </c>
      <c r="B290" s="11">
        <f t="shared" si="56"/>
        <v>4200</v>
      </c>
      <c r="C290" s="6"/>
      <c r="D290" s="28">
        <f t="shared" si="57"/>
        <v>5100</v>
      </c>
      <c r="E290" s="29">
        <f t="shared" si="58"/>
        <v>-900</v>
      </c>
      <c r="F290" s="29">
        <f t="shared" si="59"/>
        <v>900</v>
      </c>
      <c r="G290" s="29">
        <f t="shared" si="60"/>
        <v>810000</v>
      </c>
      <c r="I290" s="6"/>
      <c r="J290" s="6"/>
      <c r="K290" s="6"/>
      <c r="L290" s="6"/>
      <c r="M290" s="6"/>
      <c r="N290" s="6"/>
      <c r="O290" s="6"/>
    </row>
    <row r="291" spans="1:15" ht="22" customHeight="1" x14ac:dyDescent="0.35">
      <c r="A291" s="11">
        <f t="shared" si="56"/>
        <v>10</v>
      </c>
      <c r="B291" s="11">
        <f t="shared" si="56"/>
        <v>5600</v>
      </c>
      <c r="C291" s="6"/>
      <c r="D291" s="28">
        <f t="shared" si="57"/>
        <v>4600</v>
      </c>
      <c r="E291" s="29">
        <f t="shared" si="58"/>
        <v>1000</v>
      </c>
      <c r="F291" s="29">
        <f t="shared" si="59"/>
        <v>1000</v>
      </c>
      <c r="G291" s="29">
        <f t="shared" si="60"/>
        <v>1000000</v>
      </c>
      <c r="I291" s="6"/>
      <c r="J291" s="6"/>
      <c r="K291" s="6"/>
      <c r="L291" s="6"/>
      <c r="M291" s="6"/>
      <c r="N291" s="6"/>
      <c r="O291" s="6"/>
    </row>
    <row r="292" spans="1:15" ht="22" customHeight="1" x14ac:dyDescent="0.35">
      <c r="A292" s="11">
        <f t="shared" si="56"/>
        <v>11</v>
      </c>
      <c r="B292" s="11">
        <f t="shared" si="56"/>
        <v>6500</v>
      </c>
      <c r="C292" s="6"/>
      <c r="D292" s="28">
        <f t="shared" si="57"/>
        <v>4900</v>
      </c>
      <c r="E292" s="29">
        <f t="shared" si="58"/>
        <v>1600</v>
      </c>
      <c r="F292" s="29">
        <f t="shared" si="59"/>
        <v>1600</v>
      </c>
      <c r="G292" s="29">
        <f t="shared" si="60"/>
        <v>2560000</v>
      </c>
      <c r="I292" s="6"/>
      <c r="J292" s="6"/>
      <c r="K292" s="6"/>
      <c r="L292" s="6"/>
      <c r="M292" s="6"/>
      <c r="N292" s="6"/>
      <c r="O292" s="6"/>
    </row>
    <row r="293" spans="1:15" ht="22" customHeight="1" x14ac:dyDescent="0.35">
      <c r="A293" s="11">
        <f t="shared" si="56"/>
        <v>12</v>
      </c>
      <c r="B293" s="11">
        <f t="shared" si="56"/>
        <v>7800</v>
      </c>
      <c r="C293" s="6"/>
      <c r="D293" s="28">
        <f t="shared" si="57"/>
        <v>6050</v>
      </c>
      <c r="E293" s="29">
        <f t="shared" si="58"/>
        <v>1750</v>
      </c>
      <c r="F293" s="29">
        <f t="shared" si="59"/>
        <v>1750</v>
      </c>
      <c r="G293" s="29">
        <f t="shared" si="60"/>
        <v>3062500</v>
      </c>
      <c r="I293" s="6"/>
      <c r="J293" s="6"/>
      <c r="K293" s="6"/>
      <c r="L293" s="6"/>
      <c r="M293" s="6"/>
      <c r="N293" s="6"/>
      <c r="O293" s="6"/>
    </row>
    <row r="294" spans="1:15" ht="22" customHeigh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22" customHeigh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32" customHeight="1" x14ac:dyDescent="0.35">
      <c r="A296" s="58" t="s">
        <v>53</v>
      </c>
      <c r="B296" s="6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22" customHeigh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38" customHeight="1" x14ac:dyDescent="0.35">
      <c r="A298" s="15" t="s">
        <v>36</v>
      </c>
      <c r="B298" s="16" t="s">
        <v>40</v>
      </c>
      <c r="C298" s="6"/>
      <c r="D298" s="32" t="s">
        <v>41</v>
      </c>
      <c r="E298" s="16" t="s">
        <v>42</v>
      </c>
      <c r="F298" s="16" t="s">
        <v>43</v>
      </c>
      <c r="G298" s="16" t="s">
        <v>44</v>
      </c>
      <c r="I298" s="6"/>
      <c r="J298" s="6"/>
      <c r="K298" s="6"/>
      <c r="L298" s="6"/>
      <c r="M298" s="6"/>
      <c r="N298" s="6"/>
      <c r="O298" s="6"/>
    </row>
    <row r="299" spans="1:15" ht="22" customHeight="1" x14ac:dyDescent="0.35">
      <c r="A299" s="11">
        <f t="shared" ref="A299:B310" si="62">A265</f>
        <v>1</v>
      </c>
      <c r="B299" s="11">
        <f t="shared" si="62"/>
        <v>2500</v>
      </c>
      <c r="C299" s="6"/>
      <c r="D299" s="18"/>
      <c r="E299" s="19"/>
      <c r="F299" s="19"/>
      <c r="G299" s="19"/>
      <c r="I299" s="6"/>
      <c r="J299" s="20" t="s">
        <v>46</v>
      </c>
      <c r="K299" s="33">
        <f>COUNT(E305:E310)</f>
        <v>6</v>
      </c>
      <c r="L299" s="6"/>
      <c r="M299" s="6"/>
      <c r="N299" s="6"/>
      <c r="O299" s="6"/>
    </row>
    <row r="300" spans="1:15" ht="22" customHeight="1" x14ac:dyDescent="0.35">
      <c r="A300" s="11">
        <f t="shared" si="62"/>
        <v>2</v>
      </c>
      <c r="B300" s="11">
        <f t="shared" si="62"/>
        <v>2300</v>
      </c>
      <c r="C300" s="6"/>
      <c r="D300" s="18"/>
      <c r="E300" s="19"/>
      <c r="F300" s="19"/>
      <c r="G300" s="19"/>
      <c r="I300" s="6"/>
      <c r="J300" s="22" t="s">
        <v>47</v>
      </c>
      <c r="K300" s="33">
        <f>SUM(F305:F310)</f>
        <v>4489.5382395382403</v>
      </c>
      <c r="L300" s="6"/>
      <c r="M300" s="6"/>
      <c r="N300" s="6"/>
      <c r="O300" s="6"/>
    </row>
    <row r="301" spans="1:15" ht="22" customHeight="1" x14ac:dyDescent="0.35">
      <c r="A301" s="11">
        <f t="shared" si="62"/>
        <v>3</v>
      </c>
      <c r="B301" s="11">
        <f t="shared" si="62"/>
        <v>3000</v>
      </c>
      <c r="C301" s="6"/>
      <c r="D301" s="18"/>
      <c r="E301" s="19"/>
      <c r="F301" s="19"/>
      <c r="G301" s="19"/>
      <c r="I301" s="6"/>
      <c r="J301" s="22" t="s">
        <v>48</v>
      </c>
      <c r="K301" s="33">
        <f>SUM(G305:G310)</f>
        <v>4907075.3248835495</v>
      </c>
      <c r="L301" s="6"/>
      <c r="M301" s="6"/>
      <c r="N301" s="6"/>
      <c r="O301" s="6"/>
    </row>
    <row r="302" spans="1:15" ht="22" customHeight="1" x14ac:dyDescent="0.35">
      <c r="A302" s="11">
        <f t="shared" si="62"/>
        <v>4</v>
      </c>
      <c r="B302" s="11">
        <f t="shared" si="62"/>
        <v>3400</v>
      </c>
      <c r="C302" s="6"/>
      <c r="D302" s="18"/>
      <c r="E302" s="19"/>
      <c r="F302" s="19"/>
      <c r="G302" s="19"/>
      <c r="I302" s="6"/>
      <c r="L302" s="6"/>
      <c r="M302" s="6"/>
      <c r="N302" s="6"/>
      <c r="O302" s="6"/>
    </row>
    <row r="303" spans="1:15" ht="22" customHeight="1" x14ac:dyDescent="0.35">
      <c r="A303" s="11">
        <f t="shared" si="62"/>
        <v>5</v>
      </c>
      <c r="B303" s="11">
        <f t="shared" si="62"/>
        <v>3900</v>
      </c>
      <c r="C303" s="6"/>
      <c r="D303" s="18"/>
      <c r="E303" s="19"/>
      <c r="F303" s="19"/>
      <c r="G303" s="19"/>
      <c r="I303" s="6"/>
      <c r="J303" s="25"/>
      <c r="K303" s="6"/>
      <c r="L303" s="6"/>
      <c r="M303" s="6"/>
      <c r="N303" s="6"/>
      <c r="O303" s="6"/>
    </row>
    <row r="304" spans="1:15" ht="28" customHeight="1" x14ac:dyDescent="0.35">
      <c r="A304" s="11">
        <f t="shared" si="62"/>
        <v>6</v>
      </c>
      <c r="B304" s="11">
        <f t="shared" si="62"/>
        <v>4500</v>
      </c>
      <c r="C304" s="6"/>
      <c r="D304" s="18"/>
      <c r="E304" s="19"/>
      <c r="F304" s="19"/>
      <c r="G304" s="19"/>
      <c r="I304" s="6"/>
      <c r="J304" s="54" t="s">
        <v>50</v>
      </c>
      <c r="K304" s="27">
        <f>K300/K299</f>
        <v>748.25637325637342</v>
      </c>
      <c r="L304" s="6"/>
      <c r="M304" s="6"/>
      <c r="N304" s="6"/>
      <c r="O304" s="6"/>
    </row>
    <row r="305" spans="1:15" ht="28" customHeight="1" x14ac:dyDescent="0.35">
      <c r="A305" s="11">
        <f t="shared" si="62"/>
        <v>7</v>
      </c>
      <c r="B305" s="11">
        <f t="shared" si="62"/>
        <v>5200</v>
      </c>
      <c r="C305" s="6"/>
      <c r="D305" s="34">
        <f>INTERCEPT($B$314:B319,$A$314:A319)+SLOPE($B$314:B319,$A$314:A319)*A305</f>
        <v>4786.6666666666661</v>
      </c>
      <c r="E305" s="29">
        <f t="shared" ref="E305:E310" si="63">B305-D305</f>
        <v>413.33333333333394</v>
      </c>
      <c r="F305" s="29">
        <f t="shared" ref="F305:F310" si="64">ABS(E305)</f>
        <v>413.33333333333394</v>
      </c>
      <c r="G305" s="29">
        <f t="shared" ref="G305:G310" si="65">E305^2</f>
        <v>170844.44444444493</v>
      </c>
      <c r="I305" s="6"/>
      <c r="J305" s="54" t="s">
        <v>51</v>
      </c>
      <c r="K305" s="35">
        <f>K301/K299</f>
        <v>817845.88748059154</v>
      </c>
      <c r="L305" s="6"/>
      <c r="M305" s="6"/>
      <c r="N305" s="6"/>
      <c r="O305" s="6"/>
    </row>
    <row r="306" spans="1:15" ht="28" customHeight="1" x14ac:dyDescent="0.35">
      <c r="A306" s="11">
        <f t="shared" si="62"/>
        <v>8</v>
      </c>
      <c r="B306" s="11">
        <f t="shared" si="62"/>
        <v>5000</v>
      </c>
      <c r="C306" s="6"/>
      <c r="D306" s="34">
        <f>INTERCEPT($B$314:B320,$A$314:A320)+SLOPE($B$314:B320,$A$314:A320)*A306</f>
        <v>5457.1428571428569</v>
      </c>
      <c r="E306" s="29">
        <f t="shared" si="63"/>
        <v>-457.14285714285688</v>
      </c>
      <c r="F306" s="29">
        <f t="shared" si="64"/>
        <v>457.14285714285688</v>
      </c>
      <c r="G306" s="29">
        <f t="shared" si="65"/>
        <v>208979.59183673444</v>
      </c>
      <c r="I306" s="6"/>
      <c r="L306" s="6"/>
      <c r="M306" s="6"/>
      <c r="N306" s="6"/>
      <c r="O306" s="6"/>
    </row>
    <row r="307" spans="1:15" ht="22" customHeight="1" x14ac:dyDescent="0.35">
      <c r="A307" s="11">
        <f t="shared" si="62"/>
        <v>9</v>
      </c>
      <c r="B307" s="11">
        <f t="shared" si="62"/>
        <v>4200</v>
      </c>
      <c r="C307" s="6"/>
      <c r="D307" s="34">
        <f>INTERCEPT($B$314:B321,$A$314:A321)+SLOPE($B$314:B321,$A$314:A321)*A307</f>
        <v>5707.1428571428569</v>
      </c>
      <c r="E307" s="29">
        <f t="shared" si="63"/>
        <v>-1507.1428571428569</v>
      </c>
      <c r="F307" s="29">
        <f t="shared" si="64"/>
        <v>1507.1428571428569</v>
      </c>
      <c r="G307" s="29">
        <f t="shared" si="65"/>
        <v>2271479.5918367337</v>
      </c>
      <c r="I307" s="6"/>
      <c r="J307" s="6"/>
      <c r="K307" s="6"/>
      <c r="L307" s="6"/>
      <c r="M307" s="6"/>
      <c r="N307" s="6"/>
      <c r="O307" s="6"/>
    </row>
    <row r="308" spans="1:15" ht="22" customHeight="1" x14ac:dyDescent="0.35">
      <c r="A308" s="11">
        <f t="shared" si="62"/>
        <v>10</v>
      </c>
      <c r="B308" s="11">
        <f t="shared" si="62"/>
        <v>5600</v>
      </c>
      <c r="C308" s="6"/>
      <c r="D308" s="34">
        <f>INTERCEPT($B$314:B322,$A$314:A322)+SLOPE($B$314:B322,$A$314:A322)*A308</f>
        <v>5477.7777777777774</v>
      </c>
      <c r="E308" s="29">
        <f t="shared" si="63"/>
        <v>122.22222222222263</v>
      </c>
      <c r="F308" s="29">
        <f t="shared" si="64"/>
        <v>122.22222222222263</v>
      </c>
      <c r="G308" s="29">
        <f t="shared" si="65"/>
        <v>14938.271604938371</v>
      </c>
      <c r="I308" s="6"/>
      <c r="J308" s="6"/>
      <c r="K308" s="6"/>
      <c r="L308" s="6"/>
      <c r="M308" s="6"/>
      <c r="N308" s="6"/>
      <c r="O308" s="6"/>
    </row>
    <row r="309" spans="1:15" ht="22" customHeight="1" x14ac:dyDescent="0.35">
      <c r="A309" s="11">
        <f t="shared" si="62"/>
        <v>11</v>
      </c>
      <c r="B309" s="11">
        <f t="shared" si="62"/>
        <v>6500</v>
      </c>
      <c r="C309" s="6"/>
      <c r="D309" s="34">
        <f>INTERCEPT($B$314:B323,$A$314:A323)+SLOPE($B$314:B323,$A$314:A323)*A309</f>
        <v>5866.6666666666661</v>
      </c>
      <c r="E309" s="29">
        <f t="shared" si="63"/>
        <v>633.33333333333394</v>
      </c>
      <c r="F309" s="29">
        <f t="shared" si="64"/>
        <v>633.33333333333394</v>
      </c>
      <c r="G309" s="29">
        <f t="shared" si="65"/>
        <v>401111.11111111188</v>
      </c>
      <c r="I309" s="6"/>
      <c r="J309" s="6"/>
      <c r="K309" s="6"/>
      <c r="L309" s="6"/>
      <c r="M309" s="6"/>
      <c r="N309" s="6"/>
      <c r="O309" s="6"/>
    </row>
    <row r="310" spans="1:15" ht="22" customHeight="1" x14ac:dyDescent="0.35">
      <c r="A310" s="11">
        <f t="shared" si="62"/>
        <v>12</v>
      </c>
      <c r="B310" s="11">
        <f t="shared" si="62"/>
        <v>7800</v>
      </c>
      <c r="C310" s="6"/>
      <c r="D310" s="34">
        <f>INTERCEPT($B$314:B324,$A$314:A324)+SLOPE($B$314:B324,$A$314:A324)*A310</f>
        <v>6443.636363636364</v>
      </c>
      <c r="E310" s="29">
        <f t="shared" si="63"/>
        <v>1356.363636363636</v>
      </c>
      <c r="F310" s="29">
        <f t="shared" si="64"/>
        <v>1356.363636363636</v>
      </c>
      <c r="G310" s="29">
        <f t="shared" si="65"/>
        <v>1839722.314049586</v>
      </c>
      <c r="I310" s="6"/>
      <c r="J310" s="6"/>
      <c r="K310" s="6"/>
      <c r="L310" s="6"/>
      <c r="M310" s="6"/>
      <c r="N310" s="6"/>
      <c r="O310" s="6"/>
    </row>
    <row r="311" spans="1:15" ht="22" customHeight="1" x14ac:dyDescent="0.35">
      <c r="A311" s="12"/>
      <c r="B311" s="12"/>
      <c r="C311" s="6"/>
      <c r="D311" s="12"/>
      <c r="E311" s="12"/>
      <c r="F311" s="12"/>
      <c r="G311" s="12"/>
      <c r="H311" s="14"/>
      <c r="I311" s="6"/>
      <c r="J311" s="6"/>
      <c r="K311" s="6"/>
      <c r="L311" s="6"/>
      <c r="M311" s="6"/>
      <c r="N311" s="6"/>
      <c r="O311" s="6"/>
    </row>
    <row r="312" spans="1:15" ht="22" customHeigh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38" customHeight="1" x14ac:dyDescent="0.35">
      <c r="A313" s="36" t="s">
        <v>36</v>
      </c>
      <c r="B313" s="36" t="s">
        <v>40</v>
      </c>
      <c r="C313" s="36" t="s">
        <v>54</v>
      </c>
      <c r="D313" s="36" t="s">
        <v>55</v>
      </c>
      <c r="E313" s="37"/>
      <c r="F313" s="37"/>
      <c r="G313" s="6"/>
      <c r="H313" s="6"/>
      <c r="I313" s="6"/>
    </row>
    <row r="314" spans="1:15" ht="22" customHeight="1" x14ac:dyDescent="0.35">
      <c r="A314" s="11">
        <f t="shared" ref="A314:B325" si="67">A265</f>
        <v>1</v>
      </c>
      <c r="B314" s="11">
        <f t="shared" si="67"/>
        <v>2500</v>
      </c>
      <c r="C314" s="40">
        <f t="shared" ref="C314:C325" si="68">A314*B314</f>
        <v>2500</v>
      </c>
      <c r="D314" s="40">
        <f t="shared" ref="D314:D325" si="69">A314^2</f>
        <v>1</v>
      </c>
      <c r="E314" s="37"/>
      <c r="F314" s="37"/>
      <c r="G314" s="6"/>
      <c r="H314" s="6"/>
      <c r="I314" s="6"/>
    </row>
    <row r="315" spans="1:15" ht="22" customHeight="1" x14ac:dyDescent="0.35">
      <c r="A315" s="11">
        <f t="shared" si="67"/>
        <v>2</v>
      </c>
      <c r="B315" s="11">
        <f t="shared" si="67"/>
        <v>2300</v>
      </c>
      <c r="C315" s="40">
        <f t="shared" si="68"/>
        <v>4600</v>
      </c>
      <c r="D315" s="40">
        <f t="shared" si="69"/>
        <v>4</v>
      </c>
      <c r="E315" s="37"/>
      <c r="F315" s="37"/>
      <c r="G315" s="6"/>
      <c r="H315" s="6"/>
      <c r="I315" s="6"/>
    </row>
    <row r="316" spans="1:15" ht="22" customHeight="1" x14ac:dyDescent="0.35">
      <c r="A316" s="11">
        <f t="shared" si="67"/>
        <v>3</v>
      </c>
      <c r="B316" s="11">
        <f t="shared" si="67"/>
        <v>3000</v>
      </c>
      <c r="C316" s="40">
        <f t="shared" si="68"/>
        <v>9000</v>
      </c>
      <c r="D316" s="40">
        <f t="shared" si="69"/>
        <v>9</v>
      </c>
      <c r="E316" s="37"/>
      <c r="F316" s="37"/>
      <c r="G316" s="6"/>
      <c r="H316" s="6"/>
      <c r="I316" s="6"/>
    </row>
    <row r="317" spans="1:15" ht="22" customHeight="1" x14ac:dyDescent="0.35">
      <c r="A317" s="11">
        <f t="shared" si="67"/>
        <v>4</v>
      </c>
      <c r="B317" s="11">
        <f t="shared" si="67"/>
        <v>3400</v>
      </c>
      <c r="C317" s="40">
        <f t="shared" si="68"/>
        <v>13600</v>
      </c>
      <c r="D317" s="40">
        <f t="shared" si="69"/>
        <v>16</v>
      </c>
      <c r="E317" s="37"/>
      <c r="F317" s="37"/>
      <c r="G317" s="6"/>
      <c r="H317" s="6"/>
      <c r="I317" s="6"/>
    </row>
    <row r="318" spans="1:15" ht="22" customHeight="1" x14ac:dyDescent="0.35">
      <c r="A318" s="11">
        <f t="shared" si="67"/>
        <v>5</v>
      </c>
      <c r="B318" s="11">
        <f t="shared" si="67"/>
        <v>3900</v>
      </c>
      <c r="C318" s="40">
        <f t="shared" si="68"/>
        <v>19500</v>
      </c>
      <c r="D318" s="40">
        <f t="shared" si="69"/>
        <v>25</v>
      </c>
      <c r="E318" s="37"/>
      <c r="F318" s="37"/>
      <c r="G318" s="6"/>
      <c r="H318" s="6"/>
      <c r="I318" s="6"/>
    </row>
    <row r="319" spans="1:15" ht="22" customHeight="1" x14ac:dyDescent="0.35">
      <c r="A319" s="11">
        <f t="shared" si="67"/>
        <v>6</v>
      </c>
      <c r="B319" s="11">
        <f t="shared" si="67"/>
        <v>4500</v>
      </c>
      <c r="C319" s="40">
        <f t="shared" si="68"/>
        <v>27000</v>
      </c>
      <c r="D319" s="40">
        <f t="shared" si="69"/>
        <v>36</v>
      </c>
      <c r="E319" s="37"/>
      <c r="F319" s="37"/>
      <c r="G319" s="6"/>
      <c r="H319" s="6"/>
      <c r="I319" s="6"/>
    </row>
    <row r="320" spans="1:15" ht="22" customHeight="1" x14ac:dyDescent="0.35">
      <c r="A320" s="11">
        <f t="shared" si="67"/>
        <v>7</v>
      </c>
      <c r="B320" s="11">
        <f t="shared" si="67"/>
        <v>5200</v>
      </c>
      <c r="C320" s="40">
        <f t="shared" si="68"/>
        <v>36400</v>
      </c>
      <c r="D320" s="40">
        <f t="shared" si="69"/>
        <v>49</v>
      </c>
      <c r="E320" s="6"/>
      <c r="F320" s="37"/>
      <c r="G320" s="6"/>
      <c r="H320" s="6"/>
      <c r="I320" s="6"/>
    </row>
    <row r="321" spans="1:15" ht="22" customHeight="1" x14ac:dyDescent="0.35">
      <c r="A321" s="11">
        <f t="shared" si="67"/>
        <v>8</v>
      </c>
      <c r="B321" s="11">
        <f t="shared" si="67"/>
        <v>5000</v>
      </c>
      <c r="C321" s="40">
        <f t="shared" si="68"/>
        <v>40000</v>
      </c>
      <c r="D321" s="40">
        <f t="shared" si="69"/>
        <v>64</v>
      </c>
      <c r="E321" s="6"/>
      <c r="F321" s="37"/>
      <c r="G321" s="6"/>
      <c r="H321" s="6"/>
      <c r="I321" s="6"/>
    </row>
    <row r="322" spans="1:15" ht="22" customHeight="1" x14ac:dyDescent="0.35">
      <c r="A322" s="11">
        <f t="shared" si="67"/>
        <v>9</v>
      </c>
      <c r="B322" s="11">
        <f t="shared" si="67"/>
        <v>4200</v>
      </c>
      <c r="C322" s="40">
        <f t="shared" si="68"/>
        <v>37800</v>
      </c>
      <c r="D322" s="40">
        <f t="shared" si="69"/>
        <v>81</v>
      </c>
      <c r="E322" s="6"/>
      <c r="F322" s="37"/>
      <c r="G322" s="6"/>
      <c r="H322" s="6"/>
      <c r="I322" s="6"/>
    </row>
    <row r="323" spans="1:15" ht="22" customHeight="1" x14ac:dyDescent="0.35">
      <c r="A323" s="11">
        <f t="shared" si="67"/>
        <v>10</v>
      </c>
      <c r="B323" s="11">
        <f t="shared" si="67"/>
        <v>5600</v>
      </c>
      <c r="C323" s="40">
        <f t="shared" si="68"/>
        <v>56000</v>
      </c>
      <c r="D323" s="40">
        <f t="shared" si="69"/>
        <v>100</v>
      </c>
      <c r="E323" s="6"/>
      <c r="F323" s="37"/>
      <c r="G323" s="6"/>
      <c r="H323" s="6"/>
      <c r="I323" s="6"/>
    </row>
    <row r="324" spans="1:15" ht="22" customHeight="1" x14ac:dyDescent="0.35">
      <c r="A324" s="11">
        <f t="shared" si="67"/>
        <v>11</v>
      </c>
      <c r="B324" s="11">
        <f t="shared" si="67"/>
        <v>6500</v>
      </c>
      <c r="C324" s="40">
        <f t="shared" si="68"/>
        <v>71500</v>
      </c>
      <c r="D324" s="40">
        <f t="shared" si="69"/>
        <v>121</v>
      </c>
      <c r="E324" s="6"/>
      <c r="F324" s="37"/>
      <c r="G324" s="6"/>
      <c r="H324" s="6"/>
      <c r="I324" s="6"/>
    </row>
    <row r="325" spans="1:15" ht="22" customHeight="1" x14ac:dyDescent="0.35">
      <c r="A325" s="11">
        <f t="shared" si="67"/>
        <v>12</v>
      </c>
      <c r="B325" s="11">
        <f t="shared" si="67"/>
        <v>7800</v>
      </c>
      <c r="C325" s="40">
        <f t="shared" si="68"/>
        <v>93600</v>
      </c>
      <c r="D325" s="40">
        <f t="shared" si="69"/>
        <v>144</v>
      </c>
      <c r="E325" s="6"/>
      <c r="F325" s="37"/>
      <c r="G325" s="6"/>
      <c r="H325" s="6"/>
      <c r="I325" s="6"/>
    </row>
    <row r="326" spans="1:15" ht="22" customHeight="1" x14ac:dyDescent="0.35">
      <c r="A326" s="6"/>
      <c r="B326" s="6"/>
      <c r="C326" s="6"/>
      <c r="D326" s="6"/>
      <c r="E326" s="6"/>
      <c r="F326" s="37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22" customHeight="1" x14ac:dyDescent="0.35">
      <c r="A327" s="6"/>
      <c r="B327" s="6"/>
      <c r="C327" s="6"/>
      <c r="D327" s="6"/>
      <c r="E327" s="6"/>
      <c r="F327" s="37"/>
      <c r="G327" s="6"/>
      <c r="H327" s="6"/>
      <c r="I327" s="6"/>
      <c r="J327" s="6"/>
      <c r="K327" s="6"/>
      <c r="L327" s="6"/>
      <c r="M327" s="6"/>
      <c r="N327" s="6"/>
      <c r="O327" s="6"/>
    </row>
    <row r="328" spans="1:15" ht="22" customHeight="1" x14ac:dyDescent="0.35">
      <c r="A328" s="26" t="s">
        <v>46</v>
      </c>
      <c r="B328" s="33">
        <f>COUNT(A314:A325)</f>
        <v>12</v>
      </c>
      <c r="C328" s="37"/>
      <c r="D328" s="44" t="s">
        <v>59</v>
      </c>
      <c r="E328" s="45">
        <f>(B328*B331-B329*B330)/(B328*B332-B333)</f>
        <v>427.6223776223776</v>
      </c>
      <c r="F328" s="37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22" customHeight="1" x14ac:dyDescent="0.35">
      <c r="A329" s="46" t="s">
        <v>60</v>
      </c>
      <c r="B329" s="33">
        <f>SUM(A314:A325)</f>
        <v>78</v>
      </c>
      <c r="C329" s="37"/>
      <c r="D329" s="47" t="s">
        <v>61</v>
      </c>
      <c r="E329" s="48">
        <f>(B330-E328*B329)/B328</f>
        <v>1712.121212121212</v>
      </c>
      <c r="F329" s="37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22" customHeight="1" x14ac:dyDescent="0.35">
      <c r="A330" s="46" t="s">
        <v>62</v>
      </c>
      <c r="B330" s="33">
        <f>SUM(B314:B325)</f>
        <v>53900</v>
      </c>
      <c r="C330" s="37"/>
      <c r="D330" s="37"/>
      <c r="E330" s="37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22" customHeight="1" x14ac:dyDescent="0.35">
      <c r="A331" s="46" t="s">
        <v>63</v>
      </c>
      <c r="B331" s="33">
        <f>SUM(C314:C325)</f>
        <v>411500</v>
      </c>
      <c r="C331" s="37"/>
      <c r="D331" s="37"/>
      <c r="E331" s="37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ht="22" customHeight="1" x14ac:dyDescent="0.35">
      <c r="A332" s="46" t="s">
        <v>64</v>
      </c>
      <c r="B332" s="33">
        <f>SUM(D314:D325)</f>
        <v>650</v>
      </c>
      <c r="C332" s="37"/>
      <c r="D332" s="37"/>
      <c r="E332" s="37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22" customHeight="1" x14ac:dyDescent="0.35">
      <c r="A333" s="46" t="s">
        <v>65</v>
      </c>
      <c r="B333" s="33">
        <f>B329^2</f>
        <v>6084</v>
      </c>
      <c r="C333" s="37"/>
      <c r="D333" s="37"/>
      <c r="E333" s="37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22" customHeigh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ht="32" customHeight="1" x14ac:dyDescent="0.35">
      <c r="A335" s="62" t="s">
        <v>66</v>
      </c>
      <c r="B335" s="63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ht="22" customHeight="1" x14ac:dyDescent="0.35">
      <c r="A336" s="6"/>
      <c r="B336" s="6"/>
      <c r="C336" s="6"/>
      <c r="D336" s="6"/>
      <c r="E336" s="6"/>
      <c r="F336" s="6"/>
      <c r="G336" s="6"/>
      <c r="H336" s="49"/>
      <c r="I336" s="6"/>
      <c r="J336" s="6"/>
      <c r="K336" s="6"/>
      <c r="L336" s="6"/>
      <c r="M336" s="6"/>
      <c r="N336" s="6"/>
      <c r="O336" s="6"/>
    </row>
    <row r="337" spans="1:15" ht="48" customHeight="1" x14ac:dyDescent="0.35">
      <c r="A337" s="6"/>
      <c r="B337" s="6"/>
      <c r="C337" s="55"/>
      <c r="D337" s="56" t="s">
        <v>67</v>
      </c>
      <c r="E337" s="56" t="s">
        <v>68</v>
      </c>
      <c r="F337" s="55" t="s">
        <v>69</v>
      </c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22" customHeight="1" x14ac:dyDescent="0.35">
      <c r="A338" s="6"/>
      <c r="B338" s="6"/>
      <c r="C338" s="50" t="s">
        <v>50</v>
      </c>
      <c r="D338" s="51">
        <f>K287</f>
        <v>1066.6666666666667</v>
      </c>
      <c r="E338" s="51">
        <f>K304</f>
        <v>748.25637325637342</v>
      </c>
      <c r="F338" s="66">
        <f>AVERAGE(M360:M365)</f>
        <v>483.33333333333331</v>
      </c>
      <c r="G338" s="6"/>
      <c r="H338" s="6"/>
      <c r="I338" s="6"/>
      <c r="J338" s="6"/>
      <c r="K338" s="6"/>
      <c r="L338" s="6"/>
      <c r="M338" s="6"/>
      <c r="N338" s="6"/>
      <c r="O338" s="6"/>
    </row>
    <row r="339" spans="1:15" ht="22" customHeight="1" x14ac:dyDescent="0.35">
      <c r="A339" s="6"/>
      <c r="B339" s="6"/>
      <c r="C339" s="50" t="s">
        <v>51</v>
      </c>
      <c r="D339" s="51">
        <f>K288</f>
        <v>1409166.6666666667</v>
      </c>
      <c r="E339" s="51">
        <f>K305</f>
        <v>817845.88748059154</v>
      </c>
      <c r="F339" s="67">
        <f>AVERAGE(N360:N365)</f>
        <v>255000</v>
      </c>
      <c r="G339" s="6"/>
      <c r="H339" s="6"/>
      <c r="I339" s="6"/>
      <c r="J339" s="6"/>
      <c r="K339" s="6"/>
      <c r="L339" s="6"/>
      <c r="M339" s="6"/>
      <c r="N339" s="6"/>
      <c r="O339" s="6"/>
    </row>
    <row r="340" spans="1:15" ht="22" customHeight="1" x14ac:dyDescent="0.35">
      <c r="A340" s="6"/>
      <c r="B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ht="15.5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ht="15.5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ht="34" customHeight="1" x14ac:dyDescent="0.35">
      <c r="A343" s="57" t="s">
        <v>70</v>
      </c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</row>
    <row r="344" spans="1:15" ht="15.5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ht="48" customHeight="1" x14ac:dyDescent="0.35">
      <c r="A345" s="68" t="s">
        <v>36</v>
      </c>
      <c r="B345" s="68" t="s">
        <v>0</v>
      </c>
      <c r="C345" s="68" t="s">
        <v>67</v>
      </c>
      <c r="D345" s="68" t="s">
        <v>68</v>
      </c>
      <c r="E345" s="68" t="s">
        <v>71</v>
      </c>
      <c r="F345" s="68" t="s">
        <v>72</v>
      </c>
      <c r="G345" s="6"/>
      <c r="H345" s="6"/>
      <c r="I345" s="6"/>
      <c r="J345" s="6"/>
      <c r="K345" s="6"/>
      <c r="L345" s="6"/>
      <c r="M345" s="6"/>
      <c r="N345" s="6"/>
      <c r="O345" s="6"/>
    </row>
    <row r="346" spans="1:15" ht="15.5" x14ac:dyDescent="0.35">
      <c r="A346" s="69">
        <v>13</v>
      </c>
      <c r="B346" s="69" t="s">
        <v>73</v>
      </c>
      <c r="C346" s="67">
        <f>CHOOSE($J$279-1,AVERAGE(B275:B276),AVERAGE(B274:B276),AVERAGE(B273:B276),AVERAGE(B272:B276),AVERAGE(B271:B276))</f>
        <v>7150</v>
      </c>
      <c r="D346" s="67">
        <f t="shared" ref="D346:D351" si="74">$E$329+$E$328*A346</f>
        <v>7271.212121212121</v>
      </c>
      <c r="E346" s="70">
        <f t="shared" ref="E346:E351" si="75">ROUND(D346,0)</f>
        <v>7271</v>
      </c>
      <c r="F346" s="69" t="s">
        <v>68</v>
      </c>
      <c r="G346" s="6"/>
      <c r="H346" s="6"/>
      <c r="I346" s="6"/>
      <c r="J346" s="6"/>
      <c r="K346" s="6"/>
      <c r="L346" s="6"/>
      <c r="M346" s="6"/>
      <c r="N346" s="6"/>
      <c r="O346" s="6"/>
    </row>
    <row r="347" spans="1:15" ht="15.5" x14ac:dyDescent="0.35">
      <c r="A347" s="69">
        <v>14</v>
      </c>
      <c r="B347" s="69" t="s">
        <v>74</v>
      </c>
      <c r="C347" s="67">
        <f>CHOOSE($J$279-1,AVERAGE(B275:B276),AVERAGE(B274:B276),AVERAGE(B273:B276),AVERAGE(B272:B276),AVERAGE(B271:B276))</f>
        <v>7150</v>
      </c>
      <c r="D347" s="67">
        <f t="shared" si="74"/>
        <v>7698.8344988344979</v>
      </c>
      <c r="E347" s="70">
        <f t="shared" si="75"/>
        <v>7699</v>
      </c>
      <c r="F347" s="69" t="s">
        <v>68</v>
      </c>
      <c r="G347" s="6"/>
      <c r="H347" s="6"/>
      <c r="I347" s="6"/>
      <c r="J347" s="6"/>
      <c r="K347" s="6"/>
      <c r="L347" s="6"/>
      <c r="M347" s="6"/>
      <c r="N347" s="6"/>
      <c r="O347" s="6"/>
    </row>
    <row r="348" spans="1:15" ht="15.5" x14ac:dyDescent="0.35">
      <c r="A348" s="69">
        <v>15</v>
      </c>
      <c r="B348" s="69" t="s">
        <v>75</v>
      </c>
      <c r="C348" s="67">
        <f>CHOOSE($J$279-1,AVERAGE(B275:B276),AVERAGE(B274:B276),AVERAGE(B273:B276),AVERAGE(B272:B276),AVERAGE(B271:B276))</f>
        <v>7150</v>
      </c>
      <c r="D348" s="67">
        <f t="shared" si="74"/>
        <v>8126.4568764568758</v>
      </c>
      <c r="E348" s="70">
        <f t="shared" si="75"/>
        <v>8126</v>
      </c>
      <c r="F348" s="69" t="s">
        <v>68</v>
      </c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15.5" x14ac:dyDescent="0.35">
      <c r="A349" s="69">
        <v>16</v>
      </c>
      <c r="B349" s="69" t="s">
        <v>76</v>
      </c>
      <c r="C349" s="67">
        <f>CHOOSE($J$279-1,AVERAGE(B275:B276),AVERAGE(B274:B276),AVERAGE(B273:B276),AVERAGE(B272:B276),AVERAGE(B271:B276))</f>
        <v>7150</v>
      </c>
      <c r="D349" s="67">
        <f t="shared" si="74"/>
        <v>8554.0792540792536</v>
      </c>
      <c r="E349" s="70">
        <f t="shared" si="75"/>
        <v>8554</v>
      </c>
      <c r="F349" s="69" t="s">
        <v>68</v>
      </c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5.5" x14ac:dyDescent="0.35">
      <c r="A350" s="69">
        <v>17</v>
      </c>
      <c r="B350" s="69" t="s">
        <v>77</v>
      </c>
      <c r="C350" s="67">
        <f>CHOOSE($J$279-1,AVERAGE(B275:B276),AVERAGE(B274:B276),AVERAGE(B273:B276),AVERAGE(B272:B276),AVERAGE(B271:B276))</f>
        <v>7150</v>
      </c>
      <c r="D350" s="67">
        <f t="shared" si="74"/>
        <v>8981.7016317016314</v>
      </c>
      <c r="E350" s="70">
        <f t="shared" si="75"/>
        <v>8982</v>
      </c>
      <c r="F350" s="69" t="s">
        <v>68</v>
      </c>
      <c r="G350" s="6"/>
      <c r="H350" s="6"/>
      <c r="I350" s="6"/>
      <c r="J350" s="6"/>
      <c r="K350" s="6"/>
      <c r="L350" s="6"/>
      <c r="M350" s="6"/>
      <c r="N350" s="6"/>
      <c r="O350" s="6"/>
    </row>
    <row r="351" spans="1:15" ht="15.5" x14ac:dyDescent="0.35">
      <c r="A351" s="69">
        <v>18</v>
      </c>
      <c r="B351" s="69" t="s">
        <v>78</v>
      </c>
      <c r="C351" s="67">
        <f>CHOOSE($J$279-1,AVERAGE(B275:B276),AVERAGE(B274:B276),AVERAGE(B273:B276),AVERAGE(B272:B276),AVERAGE(B271:B276))</f>
        <v>7150</v>
      </c>
      <c r="D351" s="67">
        <f t="shared" si="74"/>
        <v>9409.3240093240092</v>
      </c>
      <c r="E351" s="70">
        <f t="shared" si="75"/>
        <v>9409</v>
      </c>
      <c r="F351" s="69" t="s">
        <v>68</v>
      </c>
      <c r="G351" s="6"/>
      <c r="H351" s="6"/>
      <c r="I351" s="6"/>
      <c r="J351" s="6"/>
      <c r="K351" s="6"/>
      <c r="L351" s="6"/>
      <c r="M351" s="6"/>
      <c r="N351" s="6"/>
      <c r="O351" s="6"/>
    </row>
    <row r="352" spans="1:15" ht="15.5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3" customHeight="1" x14ac:dyDescent="0.35"/>
    <row r="354" spans="1:15" ht="3" customHeight="1" x14ac:dyDescent="0.35"/>
    <row r="355" spans="1:15" ht="15.5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ht="34" customHeight="1" x14ac:dyDescent="0.35">
      <c r="A356" s="57" t="s">
        <v>79</v>
      </c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</row>
    <row r="357" spans="1:15" ht="15.5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ht="15.5" x14ac:dyDescent="0.35">
      <c r="A358" s="6"/>
      <c r="B358" s="6"/>
      <c r="C358" s="6"/>
      <c r="D358" s="6">
        <v>2</v>
      </c>
      <c r="E358" s="6">
        <v>3</v>
      </c>
      <c r="F358" s="6">
        <v>4</v>
      </c>
      <c r="G358" s="6">
        <v>5</v>
      </c>
      <c r="H358" s="6">
        <v>6</v>
      </c>
      <c r="I358" s="6"/>
      <c r="J358" s="6"/>
      <c r="K358" s="6"/>
      <c r="L358" s="6"/>
      <c r="M358" s="6"/>
      <c r="N358" s="6"/>
      <c r="O358" s="6"/>
    </row>
    <row r="359" spans="1:15" ht="48" customHeight="1" x14ac:dyDescent="0.35">
      <c r="A359" s="68" t="s">
        <v>36</v>
      </c>
      <c r="B359" s="68" t="s">
        <v>0</v>
      </c>
      <c r="C359" s="68" t="s">
        <v>80</v>
      </c>
      <c r="D359" s="68" t="s">
        <v>81</v>
      </c>
      <c r="E359" s="68" t="s">
        <v>82</v>
      </c>
      <c r="F359" s="68" t="s">
        <v>83</v>
      </c>
      <c r="G359" s="68" t="s">
        <v>84</v>
      </c>
      <c r="H359" s="68" t="s">
        <v>85</v>
      </c>
      <c r="I359" s="6"/>
      <c r="J359" s="68" t="s">
        <v>80</v>
      </c>
      <c r="K359" s="68" t="s">
        <v>69</v>
      </c>
      <c r="L359" s="68" t="s">
        <v>86</v>
      </c>
      <c r="M359" s="68" t="s">
        <v>87</v>
      </c>
      <c r="N359" s="68" t="s">
        <v>88</v>
      </c>
    </row>
    <row r="360" spans="1:15" ht="15.5" x14ac:dyDescent="0.35">
      <c r="A360" s="69">
        <f t="shared" ref="A360:A365" si="76">A271</f>
        <v>7</v>
      </c>
      <c r="B360" s="69" t="s">
        <v>16</v>
      </c>
      <c r="C360" s="67">
        <f t="shared" ref="C360:C365" si="77">B271</f>
        <v>5200</v>
      </c>
      <c r="D360" s="67">
        <f t="shared" ref="D360:D365" si="78">AVERAGE(B269:B270)</f>
        <v>4200</v>
      </c>
      <c r="E360" s="67">
        <f t="shared" ref="E360:E365" si="79">AVERAGE(B268:B270)</f>
        <v>3933.3333333333335</v>
      </c>
      <c r="F360" s="67">
        <f t="shared" ref="F360:F365" si="80">AVERAGE(B267:B270)</f>
        <v>3700</v>
      </c>
      <c r="G360" s="67">
        <f t="shared" ref="G360:G365" si="81">AVERAGE(B266:B270)</f>
        <v>3420</v>
      </c>
      <c r="H360" s="67">
        <f t="shared" ref="H360:H365" si="82">AVERAGE(B265:B270)</f>
        <v>3266.6666666666665</v>
      </c>
      <c r="I360" s="52"/>
      <c r="J360" s="67">
        <f t="shared" ref="J360:J365" si="83">C360</f>
        <v>5200</v>
      </c>
      <c r="K360" s="67">
        <f>SUMIFS(Raw_Dataset!$D$2:$D$37,Raw_Dataset!$A$2:$A$37,B360,Raw_Dataset!$B$2:$B$37,"Nile Cold Brew")</f>
        <v>4800</v>
      </c>
      <c r="L360" s="67">
        <f t="shared" ref="L360:L365" si="84">J360-K360</f>
        <v>400</v>
      </c>
      <c r="M360" s="67">
        <f t="shared" ref="M360:M365" si="85">ABS(L360)</f>
        <v>400</v>
      </c>
      <c r="N360" s="67">
        <f t="shared" ref="N360:N365" si="86">L360^2</f>
        <v>160000</v>
      </c>
    </row>
    <row r="361" spans="1:15" ht="15.5" x14ac:dyDescent="0.35">
      <c r="A361" s="69">
        <f t="shared" si="76"/>
        <v>8</v>
      </c>
      <c r="B361" s="69" t="s">
        <v>17</v>
      </c>
      <c r="C361" s="67">
        <f t="shared" si="77"/>
        <v>5000</v>
      </c>
      <c r="D361" s="67">
        <f t="shared" si="78"/>
        <v>4850</v>
      </c>
      <c r="E361" s="67">
        <f t="shared" si="79"/>
        <v>4533.333333333333</v>
      </c>
      <c r="F361" s="67">
        <f t="shared" si="80"/>
        <v>4250</v>
      </c>
      <c r="G361" s="67">
        <f t="shared" si="81"/>
        <v>4000</v>
      </c>
      <c r="H361" s="67">
        <f t="shared" si="82"/>
        <v>3716.6666666666665</v>
      </c>
      <c r="I361" s="52"/>
      <c r="J361" s="67">
        <f t="shared" si="83"/>
        <v>5000</v>
      </c>
      <c r="K361" s="67">
        <f>SUMIFS(Raw_Dataset!$D$2:$D$37,Raw_Dataset!$A$2:$A$37,B361,Raw_Dataset!$B$2:$B$37,"Nile Cold Brew")</f>
        <v>5400</v>
      </c>
      <c r="L361" s="67">
        <f t="shared" si="84"/>
        <v>-400</v>
      </c>
      <c r="M361" s="67">
        <f t="shared" si="85"/>
        <v>400</v>
      </c>
      <c r="N361" s="67">
        <f t="shared" si="86"/>
        <v>160000</v>
      </c>
    </row>
    <row r="362" spans="1:15" ht="15.5" x14ac:dyDescent="0.35">
      <c r="A362" s="69">
        <f t="shared" si="76"/>
        <v>9</v>
      </c>
      <c r="B362" s="69" t="s">
        <v>18</v>
      </c>
      <c r="C362" s="67">
        <f t="shared" si="77"/>
        <v>4200</v>
      </c>
      <c r="D362" s="67">
        <f t="shared" si="78"/>
        <v>5100</v>
      </c>
      <c r="E362" s="67">
        <f t="shared" si="79"/>
        <v>4900</v>
      </c>
      <c r="F362" s="67">
        <f t="shared" si="80"/>
        <v>4650</v>
      </c>
      <c r="G362" s="67">
        <f t="shared" si="81"/>
        <v>4400</v>
      </c>
      <c r="H362" s="67">
        <f t="shared" si="82"/>
        <v>4166.666666666667</v>
      </c>
      <c r="I362" s="52"/>
      <c r="J362" s="67">
        <f t="shared" si="83"/>
        <v>4200</v>
      </c>
      <c r="K362" s="67">
        <f>SUMIFS(Raw_Dataset!$D$2:$D$37,Raw_Dataset!$A$2:$A$37,B362,Raw_Dataset!$B$2:$B$37,"Nile Cold Brew")</f>
        <v>4600</v>
      </c>
      <c r="L362" s="67">
        <f t="shared" si="84"/>
        <v>-400</v>
      </c>
      <c r="M362" s="67">
        <f t="shared" si="85"/>
        <v>400</v>
      </c>
      <c r="N362" s="67">
        <f t="shared" si="86"/>
        <v>160000</v>
      </c>
    </row>
    <row r="363" spans="1:15" ht="15.5" x14ac:dyDescent="0.35">
      <c r="A363" s="69">
        <f t="shared" si="76"/>
        <v>10</v>
      </c>
      <c r="B363" s="69" t="s">
        <v>19</v>
      </c>
      <c r="C363" s="67">
        <f t="shared" si="77"/>
        <v>5600</v>
      </c>
      <c r="D363" s="67">
        <f t="shared" si="78"/>
        <v>4600</v>
      </c>
      <c r="E363" s="67">
        <f t="shared" si="79"/>
        <v>4800</v>
      </c>
      <c r="F363" s="67">
        <f t="shared" si="80"/>
        <v>4725</v>
      </c>
      <c r="G363" s="67">
        <f t="shared" si="81"/>
        <v>4560</v>
      </c>
      <c r="H363" s="67">
        <f t="shared" si="82"/>
        <v>4366.666666666667</v>
      </c>
      <c r="I363" s="52"/>
      <c r="J363" s="67">
        <f t="shared" si="83"/>
        <v>5600</v>
      </c>
      <c r="K363" s="67">
        <f>SUMIFS(Raw_Dataset!$D$2:$D$37,Raw_Dataset!$A$2:$A$37,B363,Raw_Dataset!$B$2:$B$37,"Nile Cold Brew")</f>
        <v>5100</v>
      </c>
      <c r="L363" s="67">
        <f t="shared" si="84"/>
        <v>500</v>
      </c>
      <c r="M363" s="67">
        <f t="shared" si="85"/>
        <v>500</v>
      </c>
      <c r="N363" s="67">
        <f t="shared" si="86"/>
        <v>250000</v>
      </c>
    </row>
    <row r="364" spans="1:15" ht="15.5" x14ac:dyDescent="0.35">
      <c r="A364" s="69">
        <f t="shared" si="76"/>
        <v>11</v>
      </c>
      <c r="B364" s="69" t="s">
        <v>20</v>
      </c>
      <c r="C364" s="67">
        <f t="shared" si="77"/>
        <v>6500</v>
      </c>
      <c r="D364" s="67">
        <f t="shared" si="78"/>
        <v>4900</v>
      </c>
      <c r="E364" s="67">
        <f t="shared" si="79"/>
        <v>4933.333333333333</v>
      </c>
      <c r="F364" s="67">
        <f t="shared" si="80"/>
        <v>5000</v>
      </c>
      <c r="G364" s="67">
        <f t="shared" si="81"/>
        <v>4900</v>
      </c>
      <c r="H364" s="67">
        <f t="shared" si="82"/>
        <v>4733.333333333333</v>
      </c>
      <c r="I364" s="52"/>
      <c r="J364" s="67">
        <f t="shared" si="83"/>
        <v>6500</v>
      </c>
      <c r="K364" s="67">
        <f>SUMIFS(Raw_Dataset!$D$2:$D$37,Raw_Dataset!$A$2:$A$37,B364,Raw_Dataset!$B$2:$B$37,"Nile Cold Brew")</f>
        <v>6100</v>
      </c>
      <c r="L364" s="67">
        <f t="shared" si="84"/>
        <v>400</v>
      </c>
      <c r="M364" s="67">
        <f t="shared" si="85"/>
        <v>400</v>
      </c>
      <c r="N364" s="67">
        <f t="shared" si="86"/>
        <v>160000</v>
      </c>
    </row>
    <row r="365" spans="1:15" ht="15.5" x14ac:dyDescent="0.35">
      <c r="A365" s="69">
        <f t="shared" si="76"/>
        <v>12</v>
      </c>
      <c r="B365" s="69" t="s">
        <v>21</v>
      </c>
      <c r="C365" s="67">
        <f t="shared" si="77"/>
        <v>7800</v>
      </c>
      <c r="D365" s="67">
        <f t="shared" si="78"/>
        <v>6050</v>
      </c>
      <c r="E365" s="67">
        <f t="shared" si="79"/>
        <v>5433.333333333333</v>
      </c>
      <c r="F365" s="67">
        <f t="shared" si="80"/>
        <v>5325</v>
      </c>
      <c r="G365" s="67">
        <f t="shared" si="81"/>
        <v>5300</v>
      </c>
      <c r="H365" s="67">
        <f t="shared" si="82"/>
        <v>5166.666666666667</v>
      </c>
      <c r="I365" s="52"/>
      <c r="J365" s="67">
        <f t="shared" si="83"/>
        <v>7800</v>
      </c>
      <c r="K365" s="67">
        <f>SUMIFS(Raw_Dataset!$D$2:$D$37,Raw_Dataset!$A$2:$A$37,B365,Raw_Dataset!$B$2:$B$37,"Nile Cold Brew")</f>
        <v>7000</v>
      </c>
      <c r="L365" s="67">
        <f t="shared" si="84"/>
        <v>800</v>
      </c>
      <c r="M365" s="67">
        <f t="shared" si="85"/>
        <v>800</v>
      </c>
      <c r="N365" s="67">
        <f t="shared" si="86"/>
        <v>640000</v>
      </c>
    </row>
    <row r="366" spans="1:15" ht="15.5" x14ac:dyDescent="0.35">
      <c r="A366" s="6"/>
      <c r="B366" s="6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6"/>
    </row>
    <row r="367" spans="1:15" ht="15.5" x14ac:dyDescent="0.35">
      <c r="A367" s="6"/>
      <c r="B367" s="6"/>
      <c r="C367" s="67" t="s">
        <v>89</v>
      </c>
      <c r="D367" s="67">
        <f>(ABS(C360-D360)+ABS(C361-D361)+ABS(C362-D362)+ABS(C363-D363)+ABS(C364-D364)+ABS(C365-D365))/COUNT(C360:C365)</f>
        <v>1066.6666666666667</v>
      </c>
      <c r="E367" s="67">
        <f>(ABS(C360-E360)+ABS(C361-E361)+ABS(C362-E362)+ABS(C363-E363)+ABS(C364-E364)+ABS(C365-E365))/COUNT(C360:C365)</f>
        <v>1194.4444444444446</v>
      </c>
      <c r="F367" s="67">
        <f>(ABS(C360-F360)+ABS(C361-F361)+ABS(C362-F362)+ABS(C363-F363)+ABS(C364-F364)+ABS(C365-F365))/COUNT(C360:C365)</f>
        <v>1258.3333333333333</v>
      </c>
      <c r="G367" s="67">
        <f>(ABS(C360-G360)+ABS(C361-G361)+ABS(C362-G362)+ABS(C363-G363)+ABS(C364-G364)+ABS(C365-G365))/COUNT(C360:C365)</f>
        <v>1353.3333333333333</v>
      </c>
      <c r="H367" s="67">
        <f>(ABS(C360-H360)+ABS(C361-H361)+ABS(C362-H362)+ABS(C363-H363)+ABS(C364-H364)+ABS(C365-H365))/COUNT(C360:C365)</f>
        <v>1480.5555555555554</v>
      </c>
      <c r="I367" s="52"/>
      <c r="J367" s="52"/>
      <c r="K367" s="52"/>
      <c r="L367" s="52"/>
      <c r="M367" s="52"/>
      <c r="N367" s="52"/>
      <c r="O367" s="6"/>
    </row>
    <row r="368" spans="1:15" ht="15.5" x14ac:dyDescent="0.35">
      <c r="A368" s="6"/>
      <c r="B368" s="6"/>
      <c r="C368" s="67" t="s">
        <v>90</v>
      </c>
      <c r="D368" s="67">
        <f>((C360-D360)^2+(C361-D361)^2+(C362-D362)^2+(C363-D363)^2+(C364-D364)^2+(C365-D365)^2)/COUNT(C360:C365)</f>
        <v>1409166.6666666667</v>
      </c>
      <c r="E368" s="67">
        <f>((C360-E360)^2+(C361-E361)^2+(C362-E362)^2+(C363-E363)^2+(C364-E364)^2+(C365-E365)^2)/COUNT(C360:C365)</f>
        <v>1834629.6296296299</v>
      </c>
      <c r="F368" s="67">
        <f>((C360-F360)^2+(C361-F361)^2+(C362-F362)^2+(C363-F363)^2+(C364-F364)^2+(C365-F365)^2)/COUNT(C360:C365)</f>
        <v>2026041.6666666667</v>
      </c>
      <c r="G368" s="67">
        <f>((C360-G360)^2+(C361-G361)^2+(C362-G362)^2+(C363-G363)^2+(C364-G364)^2+(C365-G365)^2)/COUNT(C360:C365)</f>
        <v>2350000</v>
      </c>
      <c r="H368" s="67">
        <f>((C360-H360)^2+(C361-H361)^2+(C362-H362)^2+(C363-H363)^2+(C364-H364)^2+(C365-H365)^2)/COUNT(C360:C365)</f>
        <v>2827083.3333333335</v>
      </c>
      <c r="I368" s="52"/>
      <c r="J368" s="52"/>
      <c r="K368" s="52"/>
      <c r="L368" s="52"/>
      <c r="M368" s="52"/>
      <c r="N368" s="52"/>
      <c r="O368" s="6"/>
    </row>
    <row r="369" spans="1:15" ht="15.5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ht="3" customHeight="1" x14ac:dyDescent="0.35"/>
    <row r="371" spans="1:15" ht="3" customHeight="1" x14ac:dyDescent="0.35"/>
    <row r="372" spans="1:15" ht="15.5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15.5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ht="3" customHeight="1" x14ac:dyDescent="0.35"/>
    <row r="375" spans="1:15" ht="3" customHeight="1" x14ac:dyDescent="0.35"/>
    <row r="376" spans="1:15" ht="3" customHeight="1" x14ac:dyDescent="0.35"/>
    <row r="377" spans="1:15" ht="3" customHeight="1" x14ac:dyDescent="0.35"/>
    <row r="378" spans="1:15" ht="3" customHeight="1" x14ac:dyDescent="0.35"/>
    <row r="379" spans="1:15" ht="3" customHeight="1" x14ac:dyDescent="0.35"/>
    <row r="380" spans="1:15" ht="3" customHeight="1" x14ac:dyDescent="0.35"/>
    <row r="381" spans="1:15" ht="3" customHeight="1" x14ac:dyDescent="0.35"/>
    <row r="382" spans="1:15" ht="3" customHeight="1" x14ac:dyDescent="0.35"/>
    <row r="383" spans="1:15" ht="3" customHeight="1" x14ac:dyDescent="0.35"/>
    <row r="384" spans="1:15" ht="3" customHeight="1" x14ac:dyDescent="0.35"/>
    <row r="385" spans="1:15" ht="15.5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ht="15.5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ht="15.5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ht="15.5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</sheetData>
  <mergeCells count="21">
    <mergeCell ref="A296:B296"/>
    <mergeCell ref="A335:B335"/>
    <mergeCell ref="A262:O262"/>
    <mergeCell ref="A343:O343"/>
    <mergeCell ref="A356:O356"/>
    <mergeCell ref="A205:B205"/>
    <mergeCell ref="A132:O132"/>
    <mergeCell ref="A213:O213"/>
    <mergeCell ref="A226:O226"/>
    <mergeCell ref="A279:D279"/>
    <mergeCell ref="F279:G279"/>
    <mergeCell ref="A83:O83"/>
    <mergeCell ref="A96:O96"/>
    <mergeCell ref="A149:D149"/>
    <mergeCell ref="F149:G149"/>
    <mergeCell ref="A166:B166"/>
    <mergeCell ref="A19:D19"/>
    <mergeCell ref="F19:G19"/>
    <mergeCell ref="A36:B36"/>
    <mergeCell ref="A75:B75"/>
    <mergeCell ref="A2:O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3F9087CBB6E41A545F7D5C164DD59" ma:contentTypeVersion="10" ma:contentTypeDescription="Create a new document." ma:contentTypeScope="" ma:versionID="758cdc428bb44ff4f614698d06e15e78">
  <xsd:schema xmlns:xsd="http://www.w3.org/2001/XMLSchema" xmlns:xs="http://www.w3.org/2001/XMLSchema" xmlns:p="http://schemas.microsoft.com/office/2006/metadata/properties" xmlns:ns3="7b15b475-922e-4935-bd60-9cda554cf935" targetNamespace="http://schemas.microsoft.com/office/2006/metadata/properties" ma:root="true" ma:fieldsID="94cc5fd0cb3f0dc606fe923eb3cb9148" ns3:_="">
    <xsd:import namespace="7b15b475-922e-4935-bd60-9cda554cf9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5b475-922e-4935-bd60-9cda554cf9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15b475-922e-4935-bd60-9cda554cf935" xsi:nil="true"/>
  </documentManagement>
</p:properties>
</file>

<file path=customXml/itemProps1.xml><?xml version="1.0" encoding="utf-8"?>
<ds:datastoreItem xmlns:ds="http://schemas.openxmlformats.org/officeDocument/2006/customXml" ds:itemID="{7882F317-60F5-4365-850C-432BCCEAAD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7C14F3-786F-4102-8764-BFA89CA1C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5b475-922e-4935-bd60-9cda554cf9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24E22A-8A01-4EAF-B15A-0AC678CEE6D2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7b15b475-922e-4935-bd60-9cda554cf935"/>
    <ds:schemaRef ds:uri="http://purl.org/dc/elements/1.1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Raw_Dataset</vt:lpstr>
      <vt:lpstr>PivotTables</vt:lpstr>
      <vt:lpstr>Dashboard</vt:lpstr>
      <vt:lpstr>Demand Forecasting</vt:lpstr>
    </vt:vector>
  </TitlesOfParts>
  <Company>GUC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Hatem Hassan Ahmed</dc:creator>
  <cp:lastModifiedBy>adam mohamed</cp:lastModifiedBy>
  <dcterms:created xsi:type="dcterms:W3CDTF">2026-10-13T12:14:56Z</dcterms:created>
  <dcterms:modified xsi:type="dcterms:W3CDTF">2026-10-17T19:57:59Z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0x01010007E3F9087CBB6E41A545F7D5C164DD59</vt:lpwstr>
  </property>
</Properties>
</file>